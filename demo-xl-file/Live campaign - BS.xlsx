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xcellent Publicity\OneDrive\Desktop\campaign-tracker\demo-xl-file\"/>
    </mc:Choice>
  </mc:AlternateContent>
  <xr:revisionPtr revIDLastSave="0" documentId="13_ncr:1_{5CA4CCB7-AF6A-4A30-A56E-C01419E02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S" sheetId="1" r:id="rId1"/>
    <sheet name="DP" sheetId="2" r:id="rId2"/>
    <sheet name="Atish" sheetId="3" r:id="rId3"/>
  </sheets>
  <definedNames>
    <definedName name="_xlnm._FilterDatabase" localSheetId="0" hidden="1">BS!$A$2:$Q$123</definedName>
    <definedName name="_xlnm._FilterDatabase" localSheetId="1" hidden="1">DP!$A$2:$L$77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L10" i="2"/>
  <c r="L9" i="2"/>
  <c r="L8" i="2"/>
  <c r="L7" i="2"/>
  <c r="L6" i="2"/>
  <c r="L5" i="2"/>
  <c r="L4" i="2"/>
  <c r="L3" i="2"/>
  <c r="M123" i="1"/>
  <c r="M122" i="1"/>
  <c r="M121" i="1"/>
  <c r="M120" i="1"/>
  <c r="M119" i="1"/>
  <c r="M118" i="1"/>
  <c r="M117" i="1"/>
  <c r="M116" i="1"/>
  <c r="M115" i="1"/>
  <c r="M107" i="1"/>
  <c r="M106" i="1"/>
  <c r="M105" i="1"/>
  <c r="M104" i="1"/>
  <c r="J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P68" i="1"/>
  <c r="O68" i="1"/>
  <c r="Q68" i="1" s="1"/>
  <c r="M68" i="1"/>
  <c r="Q67" i="1"/>
  <c r="P67" i="1"/>
  <c r="O67" i="1"/>
  <c r="M67" i="1"/>
  <c r="Q66" i="1"/>
  <c r="P66" i="1"/>
  <c r="O66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0" i="1"/>
  <c r="M29" i="1"/>
  <c r="M28" i="1"/>
  <c r="M27" i="1"/>
  <c r="M26" i="1"/>
  <c r="J25" i="1"/>
  <c r="M25" i="1" s="1"/>
  <c r="J24" i="1"/>
  <c r="M24" i="1" s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J5" i="1"/>
  <c r="M5" i="1" s="1"/>
  <c r="J4" i="1"/>
  <c r="M4" i="1" s="1"/>
  <c r="P3" i="1"/>
  <c r="Q3" i="1" s="1"/>
  <c r="M3" i="1"/>
</calcChain>
</file>

<file path=xl/sharedStrings.xml><?xml version="1.0" encoding="utf-8"?>
<sst xmlns="http://schemas.openxmlformats.org/spreadsheetml/2006/main" count="1749" uniqueCount="473">
  <si>
    <t>sr no</t>
  </si>
  <si>
    <t xml:space="preserve">Backend </t>
  </si>
  <si>
    <t>Sales</t>
  </si>
  <si>
    <t>Vendor</t>
  </si>
  <si>
    <t>Stratus</t>
  </si>
  <si>
    <t xml:space="preserve">Client </t>
  </si>
  <si>
    <t xml:space="preserve">City </t>
  </si>
  <si>
    <t xml:space="preserve">Type </t>
  </si>
  <si>
    <t xml:space="preserve">Location </t>
  </si>
  <si>
    <t>Days</t>
  </si>
  <si>
    <t xml:space="preserve">Start date </t>
  </si>
  <si>
    <t xml:space="preserve">END date </t>
  </si>
  <si>
    <t>rate</t>
  </si>
  <si>
    <t>Rate as per duration</t>
  </si>
  <si>
    <t xml:space="preserve">Print </t>
  </si>
  <si>
    <t>Column 16</t>
  </si>
  <si>
    <t>Bhavinee</t>
  </si>
  <si>
    <t>Neer</t>
  </si>
  <si>
    <t>Sandesh</t>
  </si>
  <si>
    <t xml:space="preserve">Live </t>
  </si>
  <si>
    <t>Swiggy</t>
  </si>
  <si>
    <t>Baroda</t>
  </si>
  <si>
    <t xml:space="preserve">BQS </t>
  </si>
  <si>
    <t>Akshar Chowk - Baroda</t>
  </si>
  <si>
    <t>Karan</t>
  </si>
  <si>
    <t>YS</t>
  </si>
  <si>
    <t xml:space="preserve">Dhabkar </t>
  </si>
  <si>
    <t>AHD</t>
  </si>
  <si>
    <t xml:space="preserve">Cantiliver </t>
  </si>
  <si>
    <t>maninagar nr canera bank FCG crossing tow jawahar chowk</t>
  </si>
  <si>
    <t>Sitemax</t>
  </si>
  <si>
    <t>Hoarding</t>
  </si>
  <si>
    <t xml:space="preserve">Maninagar Isanpur Main Market </t>
  </si>
  <si>
    <t>Pankti</t>
  </si>
  <si>
    <t>Kriya</t>
  </si>
  <si>
    <t>Kabhi b</t>
  </si>
  <si>
    <t>Mandvi</t>
  </si>
  <si>
    <t xml:space="preserve">Post office </t>
  </si>
  <si>
    <t>Mandvi Beach</t>
  </si>
  <si>
    <t>Mahila baugh</t>
  </si>
  <si>
    <t>Sangam / balaji</t>
  </si>
  <si>
    <t xml:space="preserve">Udaipur </t>
  </si>
  <si>
    <t>Celebration Mall</t>
  </si>
  <si>
    <t>Archita</t>
  </si>
  <si>
    <t>YAAS</t>
  </si>
  <si>
    <t>Little millelium</t>
  </si>
  <si>
    <t>Noida</t>
  </si>
  <si>
    <t xml:space="preserve">Digital metro Pillers </t>
  </si>
  <si>
    <t xml:space="preserve">Sec 51 </t>
  </si>
  <si>
    <t>Radhika</t>
  </si>
  <si>
    <t>breb</t>
  </si>
  <si>
    <t>Star Air</t>
  </si>
  <si>
    <t>Bhuj</t>
  </si>
  <si>
    <t>Bhuj : Kutch Mitra Circle Kutch Mitra Circle LHS (OPTION)</t>
  </si>
  <si>
    <t>Gandhidham</t>
  </si>
  <si>
    <t>Chawla Chowk Towards Railway Station RHS</t>
  </si>
  <si>
    <t>Zanda Chowk Near Van Husen RHS</t>
  </si>
  <si>
    <t>Chitra B</t>
  </si>
  <si>
    <t>Railway Station Main Gate Outside Bazar Road LHS - Upper -1</t>
  </si>
  <si>
    <t>Airport Road Opp Prince Recidancy - LHS</t>
  </si>
  <si>
    <t>Azad Chowk - Single Site</t>
  </si>
  <si>
    <t>Mundra</t>
  </si>
  <si>
    <t>Adarsh Tower - Upper - 5</t>
  </si>
  <si>
    <t>ST Stand Entry -1</t>
  </si>
  <si>
    <t>NEAR ROTARY GARDEN - NEAR COURT – MANDVI</t>
  </si>
  <si>
    <t>Dakbanglo - Dak Banglo – MUNDRA</t>
  </si>
  <si>
    <t>surbhi</t>
  </si>
  <si>
    <t>Pioneer</t>
  </si>
  <si>
    <t>Ended</t>
  </si>
  <si>
    <t>BECO</t>
  </si>
  <si>
    <t>Delhi</t>
  </si>
  <si>
    <t>Unipole</t>
  </si>
  <si>
    <t xml:space="preserve">Khan Market </t>
  </si>
  <si>
    <t>Abhishek</t>
  </si>
  <si>
    <t>Diya</t>
  </si>
  <si>
    <t>Burger King</t>
  </si>
  <si>
    <t>Vaishno devi road</t>
  </si>
  <si>
    <t>Viral</t>
  </si>
  <si>
    <t>Adani - AHD</t>
  </si>
  <si>
    <t xml:space="preserve">Vista cables </t>
  </si>
  <si>
    <t>Ahmedabad Airport</t>
  </si>
  <si>
    <t>Mobile charging station</t>
  </si>
  <si>
    <t>Yogesh</t>
  </si>
  <si>
    <t>Senco</t>
  </si>
  <si>
    <t>Sarojini</t>
  </si>
  <si>
    <t xml:space="preserve">Chinar </t>
  </si>
  <si>
    <t>DOOH</t>
  </si>
  <si>
    <t xml:space="preserve">DLF </t>
  </si>
  <si>
    <t>Prince</t>
  </si>
  <si>
    <t>TATA CLRS - Odisha</t>
  </si>
  <si>
    <t>Bhubaneswar</t>
  </si>
  <si>
    <t>Billboard</t>
  </si>
  <si>
    <t>Pokhariput Fac DAV School</t>
  </si>
  <si>
    <t>Dhenkanal</t>
  </si>
  <si>
    <t>College road Infront of chandi Bhandar</t>
  </si>
  <si>
    <t>Cuttack Town</t>
  </si>
  <si>
    <t>Nr jobra museum Fac Stadium</t>
  </si>
  <si>
    <t>Bhadrak</t>
  </si>
  <si>
    <t>Bhadrak Station</t>
  </si>
  <si>
    <t>Cuttack Jobra</t>
  </si>
  <si>
    <t xml:space="preserve">Sitemax </t>
  </si>
  <si>
    <t>Bhaikaka UNI</t>
  </si>
  <si>
    <t xml:space="preserve">Nathdwara </t>
  </si>
  <si>
    <t>Busstand Iconic gate entry Point Facing Shrinath ji Mandir</t>
  </si>
  <si>
    <t xml:space="preserve">Chitra  OOH </t>
  </si>
  <si>
    <t>Skoda</t>
  </si>
  <si>
    <t>Jolly Motors YMCA</t>
  </si>
  <si>
    <t>NS - RAJ</t>
  </si>
  <si>
    <t>TECNO - POVO</t>
  </si>
  <si>
    <t>Jaipur</t>
  </si>
  <si>
    <t>LED</t>
  </si>
  <si>
    <t>MALL OF JAIPUR - ENTRANCE OF MALL</t>
  </si>
  <si>
    <t>CRYSTAL COURT</t>
  </si>
  <si>
    <t>EVO</t>
  </si>
  <si>
    <t>JLN Marg Moti Dongri Crossing</t>
  </si>
  <si>
    <t>Adddgrowth</t>
  </si>
  <si>
    <t>South Extension Part 1 Main Market Entry</t>
  </si>
  <si>
    <t>Naks</t>
  </si>
  <si>
    <t>Entrance of Mall Clusters - Emporio DLF Emporio, DLF Promenade &amp; Ambience Mall</t>
  </si>
  <si>
    <t>NSP - G</t>
  </si>
  <si>
    <t>Gurgaon</t>
  </si>
  <si>
    <t>DLF Cyber City LED Iconic Led at the entrance of Infinity Tower Facing Building 8</t>
  </si>
  <si>
    <t>Set of 2 LED - DLF Cyber Hub LED Cyber Hub Amphitheatre towards Wine Company</t>
  </si>
  <si>
    <t>Sun Outdoors</t>
  </si>
  <si>
    <t>Anuroop</t>
  </si>
  <si>
    <t>Ambedkar Junction, R C Dutt Road</t>
  </si>
  <si>
    <t>₹ 115,000</t>
  </si>
  <si>
    <t>Bhavans Junction</t>
  </si>
  <si>
    <t>₹ 175,000</t>
  </si>
  <si>
    <t>Modern</t>
  </si>
  <si>
    <t>VASNA BHAYLI ROAD, NR HYATT HOTEL.</t>
  </si>
  <si>
    <t>₹ 120,000</t>
  </si>
  <si>
    <t>Ashram Road Bata Shoow Room Opp. TOI Facing River Front - Lower</t>
  </si>
  <si>
    <t>₹ 50,000</t>
  </si>
  <si>
    <t>Ahmedabad Wadaj Circle AMTS Facing Dudheshwar Bridge - Lower</t>
  </si>
  <si>
    <t>₹ 80,000</t>
  </si>
  <si>
    <t>Ashram Road opp Nehrubridge Facing Town Hall</t>
  </si>
  <si>
    <t>Shailendra</t>
  </si>
  <si>
    <t>Chitra OOH</t>
  </si>
  <si>
    <t>SOLIS YANMAR</t>
  </si>
  <si>
    <t>Kheda</t>
  </si>
  <si>
    <t>Kheda, Nadiad to Dakor Highway Facing Nadiad</t>
  </si>
  <si>
    <t>BHuj</t>
  </si>
  <si>
    <t>Bhuj : Kutch Mitra Circle Kutch Mitra Circle</t>
  </si>
  <si>
    <t>Banswara</t>
  </si>
  <si>
    <t>Inside Bus Stand 3</t>
  </si>
  <si>
    <t>lunkaransar</t>
  </si>
  <si>
    <t>Gantry</t>
  </si>
  <si>
    <t>Roza Circle fcg Circle 1</t>
  </si>
  <si>
    <t xml:space="preserve">Neer </t>
  </si>
  <si>
    <t>Krishna Comm</t>
  </si>
  <si>
    <t xml:space="preserve"> Transstadia University</t>
  </si>
  <si>
    <t>BQS</t>
  </si>
  <si>
    <t>Maninagar, Bhairavnath, opp STELLAR, towards Jawaharchowk</t>
  </si>
  <si>
    <t>Isanpur, Manokamna Tenament, opp Mukhini wadi, Vatva to Isanpur Bridge</t>
  </si>
  <si>
    <t>Mangleshwar Mahadev, Ghodasar, Maninagar</t>
  </si>
  <si>
    <t>Ajay Tenament, Rabari Colony, Narol Naroda Highway, Facing CTM towards Rabari Colony Cross Roads</t>
  </si>
  <si>
    <t>Bhalkiya Mill, Khokhara, opp ANUPAM cinema</t>
  </si>
  <si>
    <t>Samrat nagar, Isanpur, Narol Naroda Highway</t>
  </si>
  <si>
    <t>New Maninagar Police Chowky, Ramol</t>
  </si>
  <si>
    <t>Nirant Chowkdi, Surabhi Society, Vastral-2</t>
  </si>
  <si>
    <t>shah</t>
  </si>
  <si>
    <t>HOC</t>
  </si>
  <si>
    <t>Surat</t>
  </si>
  <si>
    <t>Vesu Nr SD Jain School Fcg BB</t>
  </si>
  <si>
    <t>WOW</t>
  </si>
  <si>
    <t>Digital Screen</t>
  </si>
  <si>
    <t>Roongta Estella</t>
  </si>
  <si>
    <t>Roongta Estella Digital Pole, Vesu</t>
  </si>
  <si>
    <t>Roongta Signature, Nr.Khatu Shyam Mandir Vesu</t>
  </si>
  <si>
    <t>Venus</t>
  </si>
  <si>
    <t>Vesu main road , Opp Vijya Laxmi Hall , Besides Reliance Smart</t>
  </si>
  <si>
    <t>Saturn</t>
  </si>
  <si>
    <t>Vesu Main Road ,Opp. Siddhi Vinayak Temple Towards VIP Road - (R)</t>
  </si>
  <si>
    <t>Krutika</t>
  </si>
  <si>
    <t xml:space="preserve">Torrent </t>
  </si>
  <si>
    <t>Mansarovar Madhyam Marg 30x15 f</t>
  </si>
  <si>
    <t>Queens Road T Point (Gandhi path crossing)16x8</t>
  </si>
  <si>
    <t>Manav</t>
  </si>
  <si>
    <t>Mantra</t>
  </si>
  <si>
    <t>Bridal Asia - Rajkot</t>
  </si>
  <si>
    <t xml:space="preserve">Rajkot </t>
  </si>
  <si>
    <t>AG Chowk Flyover, Nr. Jaddus Hotel, Saurashtra University Facing</t>
  </si>
  <si>
    <t>Towards Yagnik Road, Dharmendra Road Facing</t>
  </si>
  <si>
    <t>Web Plus</t>
  </si>
  <si>
    <t xml:space="preserve">kishanpara Chawk 1st From balbhavan Gate Raiya Road underbridge Facing </t>
  </si>
  <si>
    <t>Citylight Main Road, Nr. Science Centre</t>
  </si>
  <si>
    <t>RAHUL RAJ MALL OUTDOOR</t>
  </si>
  <si>
    <t>PAL UMRA BRIDGE</t>
  </si>
  <si>
    <t>SIMADA JUNCTION DIGITAL SCREENS</t>
  </si>
  <si>
    <t>Bridal Asia - Surat</t>
  </si>
  <si>
    <t>Citylight , Opp Starbucks , Near Ritu Kumar</t>
  </si>
  <si>
    <t>Ghod-dod-road , Nr.Ram Chawk , Opp Luxury Time</t>
  </si>
  <si>
    <t>Jash ADV</t>
  </si>
  <si>
    <t>Athwalines , Parle Point Fly-over , Towards Piplod</t>
  </si>
  <si>
    <t>Varachha Fly-over , Towards Kapodra , Above D.S.Fashion</t>
  </si>
  <si>
    <t>Railway Station Fly-over, Towards Ring Road</t>
  </si>
  <si>
    <t>Ring Road , Udhna Darwaja Junction , Besides Reliance Mall , Opp Apple Hospital</t>
  </si>
  <si>
    <t>Adajan Gam Char Rasta , BAPS Circle , Titanium Square Building , Towards Gujrat Gas Circle</t>
  </si>
  <si>
    <t>Gauravpath road / Pal, Above SBI Bank , Opp. Tata Motors</t>
  </si>
  <si>
    <t>Ring Road, Opp. Kinnary Cinema, Supertex Tower</t>
  </si>
  <si>
    <t>saturn</t>
  </si>
  <si>
    <t>Majuragate Fly Over, Opp. Centre Point Bldg., facing RTO</t>
  </si>
  <si>
    <t>Shah</t>
  </si>
  <si>
    <t>AIRPORT SURAT INCOMING</t>
  </si>
  <si>
    <t>Kaushik</t>
  </si>
  <si>
    <t>Bridal Asia - AH</t>
  </si>
  <si>
    <t>Ahmedabad</t>
  </si>
  <si>
    <t>Ambawadi Circle, O/S Reliance Centro Mall, Fcg. C.G.Road &amp; Panchvati Circle</t>
  </si>
  <si>
    <t>Ahmedabad, Vastrapur Shahid Chowk, Nehru Park Circle</t>
  </si>
  <si>
    <t>S.G Road iscon cross road ftf ambali bopal towards isro satelite LHS (ACP)</t>
  </si>
  <si>
    <t xml:space="preserve">shailendra </t>
  </si>
  <si>
    <t>NSP</t>
  </si>
  <si>
    <t>PW</t>
  </si>
  <si>
    <t>Jaisalmer</t>
  </si>
  <si>
    <t>Outside Suchna Kendra Fcg Nagar Parishad</t>
  </si>
  <si>
    <t>At Hotel RTDC fcg Sam Road</t>
  </si>
  <si>
    <t>Classic</t>
  </si>
  <si>
    <t>Jodhpur</t>
  </si>
  <si>
    <t>Outside DPS School</t>
  </si>
  <si>
    <t>JODHPUR</t>
  </si>
  <si>
    <t>UNIPOLE</t>
  </si>
  <si>
    <t>PWD CIRCLE NEAR AKASH</t>
  </si>
  <si>
    <t>Hazel</t>
  </si>
  <si>
    <t>Panchkula</t>
  </si>
  <si>
    <t>Barwala Fcg Panchkula</t>
  </si>
  <si>
    <t>NSP - Gurgaon</t>
  </si>
  <si>
    <t>Gurugram VP - SEC-47</t>
  </si>
  <si>
    <t>Jankee - Rajasthan ADV</t>
  </si>
  <si>
    <t>Pratapnagar</t>
  </si>
  <si>
    <t>yuvraj</t>
  </si>
  <si>
    <t>Faridabad</t>
  </si>
  <si>
    <t>Metro panel</t>
  </si>
  <si>
    <t>Bata chowk</t>
  </si>
  <si>
    <t>sangam</t>
  </si>
  <si>
    <t>Udaipur</t>
  </si>
  <si>
    <t>CHETAK CIRCLE = 20x10 - UNIPOLE</t>
  </si>
  <si>
    <t>Vimal</t>
  </si>
  <si>
    <t>Hisar</t>
  </si>
  <si>
    <t>Gangwa Main Market</t>
  </si>
  <si>
    <t>Old Court Complex</t>
  </si>
  <si>
    <t>Danish</t>
  </si>
  <si>
    <t>Tonk</t>
  </si>
  <si>
    <t>Tonk Opp. Bus Stand</t>
  </si>
  <si>
    <t>Kothputli</t>
  </si>
  <si>
    <t>Before 01 K.m. Kotputli Opp. Hotel Kanji Fcg Jaipur</t>
  </si>
  <si>
    <t>Bundi</t>
  </si>
  <si>
    <t>Khoja Gate School Choraya</t>
  </si>
  <si>
    <t>NS</t>
  </si>
  <si>
    <t>Pillers</t>
  </si>
  <si>
    <t>Ajmer Road Sodala to Shyam Nagar</t>
  </si>
  <si>
    <t>Gujar ki Thadi to Atish Market</t>
  </si>
  <si>
    <t>New Sanganer Road</t>
  </si>
  <si>
    <t xml:space="preserve">Times Innovation </t>
  </si>
  <si>
    <t xml:space="preserve">Concept Motors </t>
  </si>
  <si>
    <t>AMCSCLED20210001,Vastrapur Lake Gate,Opp Amrapali Lakeview</t>
  </si>
  <si>
    <t>AMCSCLED20210002,Nehru Circle BRTS Towards Shivranjani,Nehru Circle, BRTS</t>
  </si>
  <si>
    <t>AMCSCLED20210025 Behind BOB ATM BRTS of Iscon Near Devarc Mall</t>
  </si>
  <si>
    <t>AMCSCLED20210122,Mansi Circle, I Lend Ni Ander, Opposite HP Petrol pump, Judges Bungalow Road,JAYMA SOCIETY, Satellite, Ahmedabad, Gujarat 380015</t>
  </si>
  <si>
    <t>IOCL Circle Facing Shyamal Towards Shivranjani LHS (ACP)</t>
  </si>
  <si>
    <t>Airport road Taj circle towards Dafnala facing Airport LHS (ACP)</t>
  </si>
  <si>
    <t>Evergreen</t>
  </si>
  <si>
    <t>vastrapur lake Alpha one mall</t>
  </si>
  <si>
    <t>abhik</t>
  </si>
  <si>
    <t>Prahladnagae Junction</t>
  </si>
  <si>
    <t>Dhrangadhra</t>
  </si>
  <si>
    <t>Dhragandhra Rokadiya Hanuman Circle</t>
  </si>
  <si>
    <t>Dhragandhra Highway Nr. Toll Tax FTF Halvad - LHS -1</t>
  </si>
  <si>
    <t>LImdi</t>
  </si>
  <si>
    <t>Tapasvi Chowk</t>
  </si>
  <si>
    <t>AUDI</t>
  </si>
  <si>
    <t>AMCSCLED20210001,Vastrapur Lake Gate</t>
  </si>
  <si>
    <t>AMCSCLED20210021,Kankaria Football Ground, Samarpan hall</t>
  </si>
  <si>
    <t>AMCSCLED20210120,Opposite Reliance digital, corner of dev atelier, Dear Circle, 100
 feet Aanand Nagar road, Prahlad Nagar</t>
  </si>
  <si>
    <t>AMCSCLED20210122,Mansi Circle, I Lend Ni Ander, Opposite HP Petrol pump, Judges Bungalow Road</t>
  </si>
  <si>
    <t>AMCSCLED20210238,Inside Parimal Garden, Nr Existing Publicity Board, Opp Shyam Yuno Sergical</t>
  </si>
  <si>
    <t>AMCSCLED20210270,Law Garden Corner, opposite V Mart, Tap Circle</t>
  </si>
  <si>
    <t>AMCSCLED22230606,Opposite Silver Radiance, At the corner of Footpath, Pakwan Cross Roads</t>
  </si>
  <si>
    <t>Shela Bopal Road Facing o7 club Road LHS - Lower</t>
  </si>
  <si>
    <t xml:space="preserve">Shela Road Club 07 - 4 Road Junciton fcg Ring Road - Upper </t>
  </si>
  <si>
    <t>Mid date</t>
  </si>
  <si>
    <t>Drashti</t>
  </si>
  <si>
    <t>Aradhya media</t>
  </si>
  <si>
    <t>Dishayeen</t>
  </si>
  <si>
    <t>Jamshedpur</t>
  </si>
  <si>
    <t>2 G</t>
  </si>
  <si>
    <t>Shambhal</t>
  </si>
  <si>
    <t>Sambhal S.M. children school chandausi road  20X10</t>
  </si>
  <si>
    <t>Fatehpur</t>
  </si>
  <si>
    <t>Fatehpur Patharkata Chauraha 25X20</t>
  </si>
  <si>
    <t>Gaya</t>
  </si>
  <si>
    <t>Manpur Bus stand 20X30</t>
  </si>
  <si>
    <t>Karan sharma</t>
  </si>
  <si>
    <t>Bright</t>
  </si>
  <si>
    <t>Akash institue</t>
  </si>
  <si>
    <t>Mumbai</t>
  </si>
  <si>
    <t>Boisar</t>
  </si>
  <si>
    <t>Siddhivinayak</t>
  </si>
  <si>
    <t>Akola</t>
  </si>
  <si>
    <t>Medialogy</t>
  </si>
  <si>
    <t>Metro pillar</t>
  </si>
  <si>
    <t>Thane</t>
  </si>
  <si>
    <t>Blue box</t>
  </si>
  <si>
    <t>Platfrom board</t>
  </si>
  <si>
    <t>Praksh arts</t>
  </si>
  <si>
    <t>Little millennium</t>
  </si>
  <si>
    <t>Mathura</t>
  </si>
  <si>
    <t>Gokul restaurant FC sarashwati kund road 20X15</t>
  </si>
  <si>
    <t>Agra</t>
  </si>
  <si>
    <t>Kamlanagar near dilip medical agra 20X10</t>
  </si>
  <si>
    <t>Ajanta</t>
  </si>
  <si>
    <t>Rayagada</t>
  </si>
  <si>
    <t>Rayagada - Inside church kothapetta facing JK pur 20x20 NL</t>
  </si>
  <si>
    <t>Ronak / sai krupa</t>
  </si>
  <si>
    <t>Maharashtra</t>
  </si>
  <si>
    <t>Panvel Opp Ambedkar Statue Fcg Kings Electronic</t>
  </si>
  <si>
    <t>Nerul Don Bosco School</t>
  </si>
  <si>
    <t>Shubham</t>
  </si>
  <si>
    <t>bhosari dhawade wasti gurudatta colony site no 3</t>
  </si>
  <si>
    <t>UP</t>
  </si>
  <si>
    <t>Junction chaurha</t>
  </si>
  <si>
    <t>Team ad mark</t>
  </si>
  <si>
    <t>Odisha</t>
  </si>
  <si>
    <t>INFRONT OF DAV SCHOOL, DAMANA , FACING-
 NILADRI VIHAR</t>
  </si>
  <si>
    <t>Rajshree</t>
  </si>
  <si>
    <t>Solapur Road At Kunjirwadi Fcg Solapur To Pune</t>
  </si>
  <si>
    <t>Assam</t>
  </si>
  <si>
    <t>GS Road Chirstain Basti Near City Centre</t>
  </si>
  <si>
    <t>A M</t>
  </si>
  <si>
    <t>Tripura</t>
  </si>
  <si>
    <t>Battala Market</t>
  </si>
  <si>
    <t>Station boards</t>
  </si>
  <si>
    <t>Railway Station On Platform Board</t>
  </si>
  <si>
    <t>PRIME STRRET / sai krupa</t>
  </si>
  <si>
    <t>Bus Shelter</t>
  </si>
  <si>
    <t>Kurla (E), Bus Station, Kurla Bus Stn. (E)</t>
  </si>
  <si>
    <t>WEE R Outdoor</t>
  </si>
  <si>
    <t>Ausa Road</t>
  </si>
  <si>
    <t>Basweshwar Chowk</t>
  </si>
  <si>
    <t>NNI</t>
  </si>
  <si>
    <t>Dsa flyower</t>
  </si>
  <si>
    <t>Neharu Park</t>
  </si>
  <si>
    <t>trimurti</t>
  </si>
  <si>
    <t>Jharkhand</t>
  </si>
  <si>
    <t>Dangratoli Chowk Facing Sarjana Chowk</t>
  </si>
  <si>
    <t>Ranchi,Harmu chowk</t>
  </si>
  <si>
    <t>Gajajnan Mandir signal</t>
  </si>
  <si>
    <t>Borivali Railway Station (West) Outside Station Facing Road</t>
  </si>
  <si>
    <t>PRAKASH ARTS</t>
  </si>
  <si>
    <t>Non-Lit</t>
  </si>
  <si>
    <t>Matiyari Flyover, Faizabad Road - Traffic: B.B.D.Engg.College</t>
  </si>
  <si>
    <t>Dadar- entry exit of Dadar East middle fob crowd moving towards Dadar central line and western line</t>
  </si>
  <si>
    <t>Ghatkopar</t>
  </si>
  <si>
    <t>Kendua Main Market</t>
  </si>
  <si>
    <t>Malad</t>
  </si>
  <si>
    <t>Bandra</t>
  </si>
  <si>
    <t>Digital screen</t>
  </si>
  <si>
    <t>Dadar FOB</t>
  </si>
  <si>
    <t>Kalyanpur Market -Alt - Gumti Market</t>
  </si>
  <si>
    <t>Badlapur</t>
  </si>
  <si>
    <t>Kalyan</t>
  </si>
  <si>
    <t>Station Board</t>
  </si>
  <si>
    <t>Mahim</t>
  </si>
  <si>
    <t>Chunniganj Crossing Alt - Civil Lines Katchery</t>
  </si>
  <si>
    <t>Seaowod Stn (w) nr. Seawood Mall towards belapur</t>
  </si>
  <si>
    <t>Borivali East O/s Station</t>
  </si>
  <si>
    <t>Kharghar Jalvayu Vihar</t>
  </si>
  <si>
    <t>PROACGTIVE / sai krupa</t>
  </si>
  <si>
    <t>Ghakopar Nr Station</t>
  </si>
  <si>
    <t>Andheri Link Road DN Nagar</t>
  </si>
  <si>
    <t>R D OUTDOOR</t>
  </si>
  <si>
    <t>Johnstonganj Railway Bridge</t>
  </si>
  <si>
    <t>Naini Fruit market</t>
  </si>
  <si>
    <t>Ad media</t>
  </si>
  <si>
    <t>Dombivli Shiv Mandir Road Near Kalyan Jewellers / Station</t>
  </si>
  <si>
    <t>West Bengal</t>
  </si>
  <si>
    <t>Howrah Station Centaur Hotel</t>
  </si>
  <si>
    <t>SPLASH</t>
  </si>
  <si>
    <t>Myorabad Chauraha Fac beli Hospital</t>
  </si>
  <si>
    <t>Prabha</t>
  </si>
  <si>
    <t>Redcliffe</t>
  </si>
  <si>
    <t>Pune</t>
  </si>
  <si>
    <t>Mordern College Police Line</t>
  </si>
  <si>
    <t>Bhandarkar Institute Dn</t>
  </si>
  <si>
    <t>Bharat English School Dn</t>
  </si>
  <si>
    <t>Nirmal complex paud road</t>
  </si>
  <si>
    <t>Onedevi Mandir Up</t>
  </si>
  <si>
    <t>Ambegaon D-Mart</t>
  </si>
  <si>
    <t>Viman Nagar Corner - Novotel Hotel</t>
  </si>
  <si>
    <t>Wadia College Up</t>
  </si>
  <si>
    <t>Moka Hotel Up</t>
  </si>
  <si>
    <t>Kachare Vasti Dn</t>
  </si>
  <si>
    <t>Shivaji Putala Wagholi Up</t>
  </si>
  <si>
    <t>Tiranga Hotel</t>
  </si>
  <si>
    <t>Aundh Gaon</t>
  </si>
  <si>
    <t>Baner D-Mart -2</t>
  </si>
  <si>
    <t>It Company Kharadi 2</t>
  </si>
  <si>
    <t>Vanaz Corner - Kinara Hotel</t>
  </si>
  <si>
    <t>Collector Office Pune 3</t>
  </si>
  <si>
    <t>Ratna Memorial Hospital Dn</t>
  </si>
  <si>
    <t>Lokmanya Hospital</t>
  </si>
  <si>
    <t>Datta Nagar Thergaon Chowk</t>
  </si>
  <si>
    <t>Telco road power house</t>
  </si>
  <si>
    <t>Atish</t>
  </si>
  <si>
    <t>Mohit</t>
  </si>
  <si>
    <t>Avinashi</t>
  </si>
  <si>
    <t>Sagility</t>
  </si>
  <si>
    <t>Bangalore</t>
  </si>
  <si>
    <t>Electronic City Phase1 towards Neeladri Road</t>
  </si>
  <si>
    <t>14/05/2026</t>
  </si>
  <si>
    <t>13./08/2026</t>
  </si>
  <si>
    <t>Times</t>
  </si>
  <si>
    <t xml:space="preserve">Airport Trumpet flyover Ftt Airport  </t>
  </si>
  <si>
    <t>16/05/2026</t>
  </si>
  <si>
    <t>15/08/2026</t>
  </si>
  <si>
    <t>Signpost</t>
  </si>
  <si>
    <t xml:space="preserve">Metro Station Branding </t>
  </si>
  <si>
    <t>Whitefield (Kadugodi)</t>
  </si>
  <si>
    <t>Dr. B.R. Ambedkar Station, Vidhana Soudha</t>
  </si>
  <si>
    <t>15/05/2026</t>
  </si>
  <si>
    <t>14./08/2026</t>
  </si>
  <si>
    <t>Cafe Campaign</t>
  </si>
  <si>
    <t>E.City Flyover infosys jnc ftt phase 1 &amp; 2 Hosur (LHS)</t>
  </si>
  <si>
    <t>18/05/2026</t>
  </si>
  <si>
    <t>17./06/2026</t>
  </si>
  <si>
    <t>PRJ</t>
  </si>
  <si>
    <t>Indore</t>
  </si>
  <si>
    <t>Tower Square Nr. Indian Oil Petrol Pump Facing Bhawarkua</t>
  </si>
  <si>
    <t>Radisson Square Nr. Bhairav Mandir</t>
  </si>
  <si>
    <t>Leadspace</t>
  </si>
  <si>
    <t>Hyderabad</t>
  </si>
  <si>
    <t>Metro Portal</t>
  </si>
  <si>
    <t>Begumpet rasoolpura facing old airport</t>
  </si>
  <si>
    <t>Miyapur Facing Miyapur Jucntion</t>
  </si>
  <si>
    <t>Himalaya</t>
  </si>
  <si>
    <t>Rajahmundry</t>
  </si>
  <si>
    <t>Devi Chowk Center,Facing Kambala Cheruvu Jn</t>
  </si>
  <si>
    <t>15/06/2026</t>
  </si>
  <si>
    <t>Cantilever</t>
  </si>
  <si>
    <t>Khambalacheruvu Centre (-),Facing Devi Chowk</t>
  </si>
  <si>
    <t>Nandamgani Raju Centre, Towards Khambalacheruvu,Facing Bypass Road</t>
  </si>
  <si>
    <t>SHYAMALA CENTER, FACING KOTIPALLY BUS STATION</t>
  </si>
  <si>
    <t>17/05/2026</t>
  </si>
  <si>
    <t>16/06/2026</t>
  </si>
  <si>
    <t>Visakhapatnam</t>
  </si>
  <si>
    <t>Daba Gardens Junction (LIC Circle) - Left Side,Facing RTC Complex</t>
  </si>
  <si>
    <t>13/06/2026</t>
  </si>
  <si>
    <t>Saraswathi Park, Top of Classic Plaza,Facing Junction</t>
  </si>
  <si>
    <t>Poorna Maket,Facing Jagadamba Junction</t>
  </si>
  <si>
    <t>Gopalapatnam, Opp. Vaibhav Jewellers,Facinng NAD</t>
  </si>
  <si>
    <t>FR</t>
  </si>
  <si>
    <t>Scheme No. 54 Near Appollo Hospital</t>
  </si>
  <si>
    <t>26/04/26</t>
  </si>
  <si>
    <t>26/07/2026</t>
  </si>
  <si>
    <t>Prime Street</t>
  </si>
  <si>
    <t>Mysore Road University Entrance Near RR Nagar</t>
  </si>
  <si>
    <t>19/07/2026</t>
  </si>
  <si>
    <t>Mysore</t>
  </si>
  <si>
    <t>Mysore Opp KSRTC Main Bus Stand</t>
  </si>
  <si>
    <t>SS Communication</t>
  </si>
  <si>
    <t>Jabalpur</t>
  </si>
  <si>
    <t>Naudra Bridge Facing Karamchand Chowk</t>
  </si>
  <si>
    <t>20/07/2026</t>
  </si>
  <si>
    <t>Vijaywada</t>
  </si>
  <si>
    <t>MOGHALRAJAPURAMopp_ Siddartha Academy fg_Moghalrajpuram</t>
  </si>
  <si>
    <t>20/04/2026</t>
  </si>
  <si>
    <t>RAILWAY STATION CROpp_Railway Staition Stadium Wall _ 2</t>
  </si>
  <si>
    <t>Gwalior</t>
  </si>
  <si>
    <t>PADAV BRIDGE FACING RAILWAY STATION(1)</t>
  </si>
  <si>
    <t>25/04/2026</t>
  </si>
  <si>
    <t>Beelevo</t>
  </si>
  <si>
    <t>Erode</t>
  </si>
  <si>
    <t>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</si>
</sst>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mm"/>
  </numFmts>
  <fonts count="1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2"/>
      <color theme="1"/>
      <name val="Calibri"/>
    </font>
    <font>
      <sz val="12"/>
      <color theme="1"/>
      <name val="Cambria"/>
    </font>
    <font>
      <sz val="12"/>
      <color theme="1"/>
      <name val="&quot;Verdana&quot;"/>
    </font>
    <font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434343"/>
      <name val="Calibri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d\-mmm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BS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DP-style" pivot="0" count="4" xr9:uid="{00000000-0011-0000-FFFF-FFFF01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Atish-style" pivot="0" count="4" xr9:uid="{00000000-0011-0000-FFFF-FFFF02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_2" displayName="Table1_2" ref="A2:Q123">
  <autoFilter ref="A2:Q123" xr:uid="{00000000-0009-0000-0100-000001000000}"/>
  <tableColumns count="17">
    <tableColumn id="1" xr3:uid="{00000000-0010-0000-0000-000001000000}" name="sr no"/>
    <tableColumn id="2" xr3:uid="{00000000-0010-0000-0000-000002000000}" name="Backend "/>
    <tableColumn id="3" xr3:uid="{00000000-0010-0000-0000-000003000000}" name="Sales"/>
    <tableColumn id="4" xr3:uid="{00000000-0010-0000-0000-000004000000}" name="Vendor"/>
    <tableColumn id="5" xr3:uid="{00000000-0010-0000-0000-000005000000}" name="Stratus"/>
    <tableColumn id="6" xr3:uid="{00000000-0010-0000-0000-000006000000}" name="Client "/>
    <tableColumn id="7" xr3:uid="{00000000-0010-0000-0000-000007000000}" name="City "/>
    <tableColumn id="8" xr3:uid="{00000000-0010-0000-0000-000008000000}" name="Type "/>
    <tableColumn id="9" xr3:uid="{00000000-0010-0000-0000-000009000000}" name="Location "/>
    <tableColumn id="10" xr3:uid="{00000000-0010-0000-0000-00000A000000}" name="Days"/>
    <tableColumn id="11" xr3:uid="{00000000-0010-0000-0000-00000B000000}" name="Start date "/>
    <tableColumn id="17" xr3:uid="{0A03245D-0C56-4F48-90C8-65C93BC968D6}" name="Mid date" dataDxfId="0"/>
    <tableColumn id="12" xr3:uid="{00000000-0010-0000-0000-00000C000000}" name="END date "/>
    <tableColumn id="13" xr3:uid="{00000000-0010-0000-0000-00000D000000}" name="rate"/>
    <tableColumn id="14" xr3:uid="{00000000-0010-0000-0000-00000E000000}" name="Rate as per duration"/>
    <tableColumn id="15" xr3:uid="{00000000-0010-0000-0000-00000F000000}" name="Print "/>
    <tableColumn id="16" xr3:uid="{00000000-0010-0000-0000-000010000000}" name="Column 16"/>
  </tableColumns>
  <tableStyleInfo name="B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2:L77">
  <autoFilter ref="A2:L77" xr:uid="{00000000-0009-0000-0100-000002000000}"/>
  <tableColumns count="12">
    <tableColumn id="1" xr3:uid="{00000000-0010-0000-0100-000001000000}" name="sr no"/>
    <tableColumn id="2" xr3:uid="{00000000-0010-0000-0100-000002000000}" name="Backend "/>
    <tableColumn id="3" xr3:uid="{00000000-0010-0000-0100-000003000000}" name="Sales"/>
    <tableColumn id="4" xr3:uid="{00000000-0010-0000-0100-000004000000}" name="Vendor"/>
    <tableColumn id="5" xr3:uid="{00000000-0010-0000-0100-000005000000}" name="Client "/>
    <tableColumn id="6" xr3:uid="{00000000-0010-0000-0100-000006000000}" name="City "/>
    <tableColumn id="7" xr3:uid="{00000000-0010-0000-0100-000007000000}" name="Type "/>
    <tableColumn id="8" xr3:uid="{00000000-0010-0000-0100-000008000000}" name="Location "/>
    <tableColumn id="9" xr3:uid="{00000000-0010-0000-0100-000009000000}" name="Days"/>
    <tableColumn id="10" xr3:uid="{00000000-0010-0000-0100-00000A000000}" name="Start date "/>
    <tableColumn id="11" xr3:uid="{00000000-0010-0000-0100-00000B000000}" name="Mid date"/>
    <tableColumn id="12" xr3:uid="{00000000-0010-0000-0100-00000C000000}" name="END date "/>
  </tableColumns>
  <tableStyleInfo name="DP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K26">
  <tableColumns count="11">
    <tableColumn id="1" xr3:uid="{00000000-0010-0000-0200-000001000000}" name="sr no"/>
    <tableColumn id="2" xr3:uid="{00000000-0010-0000-0200-000002000000}" name="Backend "/>
    <tableColumn id="3" xr3:uid="{00000000-0010-0000-0200-000003000000}" name="Sales"/>
    <tableColumn id="4" xr3:uid="{00000000-0010-0000-0200-000004000000}" name="Vendor"/>
    <tableColumn id="5" xr3:uid="{00000000-0010-0000-0200-000005000000}" name="Client "/>
    <tableColumn id="6" xr3:uid="{00000000-0010-0000-0200-000006000000}" name="City "/>
    <tableColumn id="7" xr3:uid="{00000000-0010-0000-0200-000007000000}" name="Type "/>
    <tableColumn id="8" xr3:uid="{00000000-0010-0000-0200-000008000000}" name="Location "/>
    <tableColumn id="9" xr3:uid="{00000000-0010-0000-0200-000009000000}" name="Days"/>
    <tableColumn id="10" xr3:uid="{00000000-0010-0000-0200-00000A000000}" name="Start date "/>
    <tableColumn id="11" xr3:uid="{00000000-0010-0000-0200-00000B000000}" name="END date "/>
  </tableColumns>
  <tableStyleInfo name="Atis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84"/>
  <sheetViews>
    <sheetView tabSelected="1" topLeftCell="H1" workbookViewId="0">
      <pane ySplit="2" topLeftCell="A3" activePane="bottomLeft" state="frozen"/>
      <selection pane="bottomLeft" activeCell="L2" sqref="L2"/>
    </sheetView>
  </sheetViews>
  <sheetFormatPr defaultColWidth="12.6640625" defaultRowHeight="15.75" customHeight="1"/>
  <cols>
    <col min="1" max="1" width="19.88671875" customWidth="1"/>
    <col min="2" max="2" width="13.33203125" customWidth="1"/>
    <col min="3" max="3" width="14.44140625" customWidth="1"/>
    <col min="4" max="4" width="19.6640625" customWidth="1"/>
    <col min="5" max="6" width="22.21875" customWidth="1"/>
    <col min="7" max="7" width="15" customWidth="1"/>
    <col min="8" max="8" width="22.77734375" customWidth="1"/>
    <col min="9" max="9" width="56" customWidth="1"/>
    <col min="11" max="12" width="16.44140625" customWidth="1"/>
    <col min="13" max="13" width="16.109375" customWidth="1"/>
  </cols>
  <sheetData>
    <row r="1" spans="1:32" ht="15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2.5" customHeight="1">
      <c r="A2" s="3" t="s">
        <v>0</v>
      </c>
      <c r="B2" s="4" t="s">
        <v>1</v>
      </c>
      <c r="C2" s="4" t="s">
        <v>2</v>
      </c>
      <c r="D2" s="3" t="s">
        <v>3</v>
      </c>
      <c r="E2" s="4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5" t="s">
        <v>9</v>
      </c>
      <c r="K2" s="3" t="s">
        <v>10</v>
      </c>
      <c r="L2" s="3" t="s">
        <v>280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2.5" customHeight="1">
      <c r="A3" s="6">
        <v>1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8" t="s">
        <v>23</v>
      </c>
      <c r="J3" s="8">
        <v>30</v>
      </c>
      <c r="K3" s="9">
        <v>46185</v>
      </c>
      <c r="L3" s="9">
        <v>46185</v>
      </c>
      <c r="M3" s="9">
        <f t="shared" ref="M3:M30" si="0">K3+J3</f>
        <v>46215</v>
      </c>
      <c r="N3" s="10"/>
      <c r="O3" s="10"/>
      <c r="P3" s="10">
        <f>430*15</f>
        <v>6450</v>
      </c>
      <c r="Q3" s="10">
        <f>O3+P3</f>
        <v>6450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22.5" customHeight="1">
      <c r="A4" s="6">
        <v>2</v>
      </c>
      <c r="B4" s="7" t="s">
        <v>16</v>
      </c>
      <c r="C4" s="7" t="s">
        <v>24</v>
      </c>
      <c r="D4" s="7" t="s">
        <v>25</v>
      </c>
      <c r="E4" s="7" t="s">
        <v>19</v>
      </c>
      <c r="F4" s="7" t="s">
        <v>26</v>
      </c>
      <c r="G4" s="7" t="s">
        <v>27</v>
      </c>
      <c r="H4" s="7" t="s">
        <v>28</v>
      </c>
      <c r="I4" s="10" t="s">
        <v>29</v>
      </c>
      <c r="J4" s="8">
        <f t="shared" ref="J4:J5" si="1">30*9</f>
        <v>270</v>
      </c>
      <c r="K4" s="9">
        <v>46165</v>
      </c>
      <c r="L4" s="9">
        <v>46165</v>
      </c>
      <c r="M4" s="9">
        <f t="shared" si="0"/>
        <v>46435</v>
      </c>
      <c r="N4" s="10"/>
      <c r="O4" s="10"/>
      <c r="P4" s="10"/>
      <c r="Q4" s="10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22.5" customHeight="1">
      <c r="A5" s="6"/>
      <c r="B5" s="7" t="s">
        <v>16</v>
      </c>
      <c r="C5" s="7" t="s">
        <v>24</v>
      </c>
      <c r="D5" s="7" t="s">
        <v>30</v>
      </c>
      <c r="E5" s="7" t="s">
        <v>19</v>
      </c>
      <c r="F5" s="7" t="s">
        <v>26</v>
      </c>
      <c r="G5" s="7" t="s">
        <v>27</v>
      </c>
      <c r="H5" s="7" t="s">
        <v>31</v>
      </c>
      <c r="I5" s="8" t="s">
        <v>32</v>
      </c>
      <c r="J5" s="8">
        <f t="shared" si="1"/>
        <v>270</v>
      </c>
      <c r="K5" s="9">
        <v>46147</v>
      </c>
      <c r="L5" s="9">
        <v>46147</v>
      </c>
      <c r="M5" s="9">
        <f t="shared" si="0"/>
        <v>46417</v>
      </c>
      <c r="N5" s="10"/>
      <c r="O5" s="10"/>
      <c r="P5" s="10"/>
      <c r="Q5" s="1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2.5" customHeight="1">
      <c r="A6" s="6">
        <v>3</v>
      </c>
      <c r="B6" s="7" t="s">
        <v>16</v>
      </c>
      <c r="C6" s="7" t="s">
        <v>33</v>
      </c>
      <c r="D6" s="7" t="s">
        <v>34</v>
      </c>
      <c r="E6" s="7" t="s">
        <v>19</v>
      </c>
      <c r="F6" s="7" t="s">
        <v>35</v>
      </c>
      <c r="G6" s="7" t="s">
        <v>36</v>
      </c>
      <c r="H6" s="7" t="s">
        <v>31</v>
      </c>
      <c r="I6" s="8" t="s">
        <v>37</v>
      </c>
      <c r="J6" s="8">
        <v>30</v>
      </c>
      <c r="K6" s="9">
        <v>46189</v>
      </c>
      <c r="L6" s="9">
        <v>46189</v>
      </c>
      <c r="M6" s="9">
        <f t="shared" si="0"/>
        <v>46219</v>
      </c>
      <c r="N6" s="10"/>
      <c r="O6" s="10"/>
      <c r="P6" s="10"/>
      <c r="Q6" s="10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2.5" customHeight="1">
      <c r="A7" s="6"/>
      <c r="B7" s="7" t="s">
        <v>16</v>
      </c>
      <c r="C7" s="7" t="s">
        <v>33</v>
      </c>
      <c r="D7" s="7" t="s">
        <v>34</v>
      </c>
      <c r="E7" s="7" t="s">
        <v>19</v>
      </c>
      <c r="F7" s="7" t="s">
        <v>35</v>
      </c>
      <c r="G7" s="7" t="s">
        <v>36</v>
      </c>
      <c r="H7" s="7" t="s">
        <v>31</v>
      </c>
      <c r="I7" s="8" t="s">
        <v>38</v>
      </c>
      <c r="J7" s="8">
        <v>30</v>
      </c>
      <c r="K7" s="9">
        <v>46189</v>
      </c>
      <c r="L7" s="9">
        <v>46189</v>
      </c>
      <c r="M7" s="9">
        <f t="shared" si="0"/>
        <v>46219</v>
      </c>
      <c r="N7" s="10"/>
      <c r="O7" s="10"/>
      <c r="P7" s="10"/>
      <c r="Q7" s="10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2.5" customHeight="1">
      <c r="A8" s="6"/>
      <c r="B8" s="7" t="s">
        <v>16</v>
      </c>
      <c r="C8" s="7" t="s">
        <v>33</v>
      </c>
      <c r="D8" s="7" t="s">
        <v>34</v>
      </c>
      <c r="E8" s="7" t="s">
        <v>19</v>
      </c>
      <c r="F8" s="7" t="s">
        <v>35</v>
      </c>
      <c r="G8" s="7" t="s">
        <v>36</v>
      </c>
      <c r="H8" s="7" t="s">
        <v>31</v>
      </c>
      <c r="I8" s="8" t="s">
        <v>39</v>
      </c>
      <c r="J8" s="8">
        <v>30</v>
      </c>
      <c r="K8" s="9">
        <v>46189</v>
      </c>
      <c r="L8" s="9">
        <v>46189</v>
      </c>
      <c r="M8" s="9">
        <f t="shared" si="0"/>
        <v>46219</v>
      </c>
      <c r="N8" s="10"/>
      <c r="O8" s="10"/>
      <c r="P8" s="10"/>
      <c r="Q8" s="10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2.5" customHeight="1">
      <c r="A9" s="6">
        <v>4</v>
      </c>
      <c r="B9" s="7" t="s">
        <v>16</v>
      </c>
      <c r="C9" s="7" t="s">
        <v>33</v>
      </c>
      <c r="D9" s="7" t="s">
        <v>40</v>
      </c>
      <c r="E9" s="7" t="s">
        <v>19</v>
      </c>
      <c r="F9" s="7" t="s">
        <v>35</v>
      </c>
      <c r="G9" s="7" t="s">
        <v>41</v>
      </c>
      <c r="H9" s="7" t="s">
        <v>31</v>
      </c>
      <c r="I9" s="8" t="s">
        <v>42</v>
      </c>
      <c r="J9" s="8">
        <v>30</v>
      </c>
      <c r="K9" s="9">
        <v>46177</v>
      </c>
      <c r="L9" s="9">
        <v>46177</v>
      </c>
      <c r="M9" s="9">
        <f t="shared" si="0"/>
        <v>46207</v>
      </c>
      <c r="N9" s="10"/>
      <c r="O9" s="10"/>
      <c r="P9" s="10"/>
      <c r="Q9" s="10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2.5" customHeight="1">
      <c r="A10" s="6">
        <v>5</v>
      </c>
      <c r="B10" s="7" t="s">
        <v>16</v>
      </c>
      <c r="C10" s="7" t="s">
        <v>43</v>
      </c>
      <c r="D10" s="7" t="s">
        <v>44</v>
      </c>
      <c r="E10" s="7" t="s">
        <v>19</v>
      </c>
      <c r="F10" s="7" t="s">
        <v>45</v>
      </c>
      <c r="G10" s="7" t="s">
        <v>46</v>
      </c>
      <c r="H10" s="7" t="s">
        <v>47</v>
      </c>
      <c r="I10" s="8" t="s">
        <v>48</v>
      </c>
      <c r="J10" s="8">
        <v>30</v>
      </c>
      <c r="K10" s="9">
        <v>46193</v>
      </c>
      <c r="L10" s="9">
        <v>46193</v>
      </c>
      <c r="M10" s="9">
        <f t="shared" si="0"/>
        <v>46223</v>
      </c>
      <c r="N10" s="10"/>
      <c r="O10" s="10"/>
      <c r="P10" s="10"/>
      <c r="Q10" s="10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2.5" customHeight="1">
      <c r="A11" s="6">
        <v>6</v>
      </c>
      <c r="B11" s="7" t="s">
        <v>16</v>
      </c>
      <c r="C11" s="7" t="s">
        <v>49</v>
      </c>
      <c r="D11" s="7" t="s">
        <v>50</v>
      </c>
      <c r="E11" s="7" t="s">
        <v>19</v>
      </c>
      <c r="F11" s="7" t="s">
        <v>51</v>
      </c>
      <c r="G11" s="7" t="s">
        <v>52</v>
      </c>
      <c r="H11" s="7" t="s">
        <v>31</v>
      </c>
      <c r="I11" s="8" t="s">
        <v>53</v>
      </c>
      <c r="J11" s="8">
        <v>30</v>
      </c>
      <c r="K11" s="9">
        <v>46186</v>
      </c>
      <c r="L11" s="9">
        <v>46186</v>
      </c>
      <c r="M11" s="9">
        <f t="shared" si="0"/>
        <v>46216</v>
      </c>
      <c r="N11" s="10"/>
      <c r="O11" s="10"/>
      <c r="P11" s="10"/>
      <c r="Q11" s="10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2.5" customHeight="1">
      <c r="A12" s="6"/>
      <c r="B12" s="7" t="s">
        <v>16</v>
      </c>
      <c r="C12" s="7" t="s">
        <v>49</v>
      </c>
      <c r="D12" s="7" t="s">
        <v>50</v>
      </c>
      <c r="E12" s="7" t="s">
        <v>19</v>
      </c>
      <c r="F12" s="7" t="s">
        <v>51</v>
      </c>
      <c r="G12" s="7" t="s">
        <v>54</v>
      </c>
      <c r="H12" s="7" t="s">
        <v>31</v>
      </c>
      <c r="I12" s="8" t="s">
        <v>55</v>
      </c>
      <c r="J12" s="8">
        <v>30</v>
      </c>
      <c r="K12" s="9">
        <v>46187</v>
      </c>
      <c r="L12" s="9">
        <v>46187</v>
      </c>
      <c r="M12" s="9">
        <f t="shared" si="0"/>
        <v>46217</v>
      </c>
      <c r="N12" s="10"/>
      <c r="O12" s="10"/>
      <c r="P12" s="10"/>
      <c r="Q12" s="10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2.5" customHeight="1">
      <c r="A13" s="6"/>
      <c r="B13" s="7" t="s">
        <v>16</v>
      </c>
      <c r="C13" s="7" t="s">
        <v>49</v>
      </c>
      <c r="D13" s="7" t="s">
        <v>50</v>
      </c>
      <c r="E13" s="7" t="s">
        <v>19</v>
      </c>
      <c r="F13" s="7" t="s">
        <v>51</v>
      </c>
      <c r="G13" s="7" t="s">
        <v>54</v>
      </c>
      <c r="H13" s="7" t="s">
        <v>31</v>
      </c>
      <c r="I13" s="8" t="s">
        <v>56</v>
      </c>
      <c r="J13" s="8">
        <v>30</v>
      </c>
      <c r="K13" s="9">
        <v>46187</v>
      </c>
      <c r="L13" s="9">
        <v>46187</v>
      </c>
      <c r="M13" s="9">
        <f t="shared" si="0"/>
        <v>46217</v>
      </c>
      <c r="N13" s="10"/>
      <c r="O13" s="10"/>
      <c r="P13" s="10"/>
      <c r="Q13" s="10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2.5" customHeight="1">
      <c r="A14" s="6"/>
      <c r="B14" s="7" t="s">
        <v>16</v>
      </c>
      <c r="C14" s="7" t="s">
        <v>49</v>
      </c>
      <c r="D14" s="7" t="s">
        <v>57</v>
      </c>
      <c r="E14" s="7" t="s">
        <v>19</v>
      </c>
      <c r="F14" s="7" t="s">
        <v>51</v>
      </c>
      <c r="G14" s="7" t="s">
        <v>52</v>
      </c>
      <c r="H14" s="7" t="s">
        <v>31</v>
      </c>
      <c r="I14" s="8" t="s">
        <v>58</v>
      </c>
      <c r="J14" s="8">
        <v>30</v>
      </c>
      <c r="K14" s="9">
        <v>46186</v>
      </c>
      <c r="L14" s="9">
        <v>46186</v>
      </c>
      <c r="M14" s="9">
        <f t="shared" si="0"/>
        <v>46216</v>
      </c>
      <c r="N14" s="10"/>
      <c r="O14" s="10"/>
      <c r="P14" s="10"/>
      <c r="Q14" s="10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2.5" customHeight="1">
      <c r="A15" s="6"/>
      <c r="B15" s="7" t="s">
        <v>16</v>
      </c>
      <c r="C15" s="7" t="s">
        <v>49</v>
      </c>
      <c r="D15" s="7" t="s">
        <v>57</v>
      </c>
      <c r="E15" s="7" t="s">
        <v>19</v>
      </c>
      <c r="F15" s="7" t="s">
        <v>51</v>
      </c>
      <c r="G15" s="7" t="s">
        <v>54</v>
      </c>
      <c r="H15" s="7" t="s">
        <v>31</v>
      </c>
      <c r="I15" s="8" t="s">
        <v>59</v>
      </c>
      <c r="J15" s="8">
        <v>30</v>
      </c>
      <c r="K15" s="9">
        <v>46186</v>
      </c>
      <c r="L15" s="9">
        <v>46186</v>
      </c>
      <c r="M15" s="9">
        <f t="shared" si="0"/>
        <v>46216</v>
      </c>
      <c r="N15" s="10"/>
      <c r="O15" s="10"/>
      <c r="P15" s="10"/>
      <c r="Q15" s="10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2.5" customHeight="1">
      <c r="A16" s="6"/>
      <c r="B16" s="7" t="s">
        <v>16</v>
      </c>
      <c r="C16" s="7" t="s">
        <v>49</v>
      </c>
      <c r="D16" s="7" t="s">
        <v>57</v>
      </c>
      <c r="E16" s="7" t="s">
        <v>19</v>
      </c>
      <c r="F16" s="7" t="s">
        <v>51</v>
      </c>
      <c r="G16" s="7" t="s">
        <v>36</v>
      </c>
      <c r="H16" s="7" t="s">
        <v>31</v>
      </c>
      <c r="I16" s="8" t="s">
        <v>60</v>
      </c>
      <c r="J16" s="8">
        <v>30</v>
      </c>
      <c r="K16" s="9">
        <v>46189</v>
      </c>
      <c r="L16" s="9">
        <v>46189</v>
      </c>
      <c r="M16" s="9">
        <f t="shared" si="0"/>
        <v>46219</v>
      </c>
      <c r="N16" s="10"/>
      <c r="O16" s="10"/>
      <c r="P16" s="10"/>
      <c r="Q16" s="10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2.5" customHeight="1">
      <c r="A17" s="6"/>
      <c r="B17" s="7" t="s">
        <v>16</v>
      </c>
      <c r="C17" s="7" t="s">
        <v>49</v>
      </c>
      <c r="D17" s="7" t="s">
        <v>57</v>
      </c>
      <c r="E17" s="7" t="s">
        <v>19</v>
      </c>
      <c r="F17" s="7" t="s">
        <v>51</v>
      </c>
      <c r="G17" s="7" t="s">
        <v>61</v>
      </c>
      <c r="H17" s="7" t="s">
        <v>31</v>
      </c>
      <c r="I17" s="8" t="s">
        <v>62</v>
      </c>
      <c r="J17" s="8">
        <v>30</v>
      </c>
      <c r="K17" s="9">
        <v>46189</v>
      </c>
      <c r="L17" s="9">
        <v>46189</v>
      </c>
      <c r="M17" s="9">
        <f t="shared" si="0"/>
        <v>46219</v>
      </c>
      <c r="N17" s="10"/>
      <c r="O17" s="10"/>
      <c r="P17" s="10"/>
      <c r="Q17" s="10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2.5" customHeight="1">
      <c r="A18" s="6"/>
      <c r="B18" s="7" t="s">
        <v>16</v>
      </c>
      <c r="C18" s="7" t="s">
        <v>49</v>
      </c>
      <c r="D18" s="7" t="s">
        <v>57</v>
      </c>
      <c r="E18" s="7" t="s">
        <v>19</v>
      </c>
      <c r="F18" s="7" t="s">
        <v>51</v>
      </c>
      <c r="G18" s="7" t="s">
        <v>61</v>
      </c>
      <c r="H18" s="7" t="s">
        <v>31</v>
      </c>
      <c r="I18" s="8" t="s">
        <v>63</v>
      </c>
      <c r="J18" s="8">
        <v>30</v>
      </c>
      <c r="K18" s="9">
        <v>46189</v>
      </c>
      <c r="L18" s="9">
        <v>46189</v>
      </c>
      <c r="M18" s="9">
        <f t="shared" si="0"/>
        <v>46219</v>
      </c>
      <c r="N18" s="10"/>
      <c r="O18" s="10"/>
      <c r="P18" s="10"/>
      <c r="Q18" s="10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2.5" customHeight="1">
      <c r="A19" s="6"/>
      <c r="B19" s="7" t="s">
        <v>16</v>
      </c>
      <c r="C19" s="7" t="s">
        <v>49</v>
      </c>
      <c r="D19" s="7" t="s">
        <v>34</v>
      </c>
      <c r="E19" s="7" t="s">
        <v>19</v>
      </c>
      <c r="F19" s="7" t="s">
        <v>51</v>
      </c>
      <c r="G19" s="7" t="s">
        <v>36</v>
      </c>
      <c r="H19" s="7" t="s">
        <v>31</v>
      </c>
      <c r="I19" s="8" t="s">
        <v>64</v>
      </c>
      <c r="J19" s="8">
        <v>30</v>
      </c>
      <c r="K19" s="9">
        <v>46188</v>
      </c>
      <c r="L19" s="9">
        <v>46188</v>
      </c>
      <c r="M19" s="9">
        <f t="shared" si="0"/>
        <v>46218</v>
      </c>
      <c r="N19" s="10"/>
      <c r="O19" s="10"/>
      <c r="P19" s="10"/>
      <c r="Q19" s="10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2.5" customHeight="1">
      <c r="A20" s="6"/>
      <c r="B20" s="7" t="s">
        <v>16</v>
      </c>
      <c r="C20" s="7" t="s">
        <v>49</v>
      </c>
      <c r="D20" s="7" t="s">
        <v>34</v>
      </c>
      <c r="E20" s="7" t="s">
        <v>19</v>
      </c>
      <c r="F20" s="7" t="s">
        <v>51</v>
      </c>
      <c r="G20" s="7" t="s">
        <v>61</v>
      </c>
      <c r="H20" s="7" t="s">
        <v>31</v>
      </c>
      <c r="I20" s="8" t="s">
        <v>65</v>
      </c>
      <c r="J20" s="8">
        <v>30</v>
      </c>
      <c r="K20" s="9">
        <v>46188</v>
      </c>
      <c r="L20" s="9">
        <v>46188</v>
      </c>
      <c r="M20" s="9">
        <f t="shared" si="0"/>
        <v>46218</v>
      </c>
      <c r="N20" s="10"/>
      <c r="O20" s="10"/>
      <c r="P20" s="10"/>
      <c r="Q20" s="10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2.5" customHeight="1">
      <c r="A21" s="6">
        <v>7</v>
      </c>
      <c r="B21" s="7" t="s">
        <v>16</v>
      </c>
      <c r="C21" s="7" t="s">
        <v>66</v>
      </c>
      <c r="D21" s="7" t="s">
        <v>67</v>
      </c>
      <c r="E21" s="7" t="s">
        <v>68</v>
      </c>
      <c r="F21" s="7" t="s">
        <v>69</v>
      </c>
      <c r="G21" s="7" t="s">
        <v>70</v>
      </c>
      <c r="H21" s="7" t="s">
        <v>71</v>
      </c>
      <c r="I21" s="8" t="s">
        <v>72</v>
      </c>
      <c r="J21" s="8">
        <v>7</v>
      </c>
      <c r="K21" s="9">
        <v>46177</v>
      </c>
      <c r="L21" s="9">
        <v>46177</v>
      </c>
      <c r="M21" s="9">
        <f t="shared" si="0"/>
        <v>46184</v>
      </c>
      <c r="N21" s="10"/>
      <c r="O21" s="10"/>
      <c r="P21" s="10"/>
      <c r="Q21" s="10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2.5" customHeight="1">
      <c r="A22" s="6">
        <v>8</v>
      </c>
      <c r="B22" s="7" t="s">
        <v>16</v>
      </c>
      <c r="C22" s="7" t="s">
        <v>73</v>
      </c>
      <c r="D22" s="7" t="s">
        <v>74</v>
      </c>
      <c r="E22" s="7" t="s">
        <v>19</v>
      </c>
      <c r="F22" s="7" t="s">
        <v>75</v>
      </c>
      <c r="G22" s="7" t="s">
        <v>27</v>
      </c>
      <c r="H22" s="7" t="s">
        <v>31</v>
      </c>
      <c r="I22" s="8" t="s">
        <v>76</v>
      </c>
      <c r="J22" s="8">
        <v>30</v>
      </c>
      <c r="K22" s="9">
        <v>46187</v>
      </c>
      <c r="L22" s="9">
        <v>46187</v>
      </c>
      <c r="M22" s="9">
        <f t="shared" si="0"/>
        <v>46217</v>
      </c>
      <c r="N22" s="10"/>
      <c r="O22" s="10"/>
      <c r="P22" s="10"/>
      <c r="Q22" s="10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22.5" customHeight="1">
      <c r="A23" s="6">
        <v>9</v>
      </c>
      <c r="B23" s="7" t="s">
        <v>16</v>
      </c>
      <c r="C23" s="7" t="s">
        <v>77</v>
      </c>
      <c r="D23" s="7" t="s">
        <v>78</v>
      </c>
      <c r="E23" s="7" t="s">
        <v>19</v>
      </c>
      <c r="F23" s="7" t="s">
        <v>79</v>
      </c>
      <c r="G23" s="7" t="s">
        <v>27</v>
      </c>
      <c r="H23" s="7" t="s">
        <v>80</v>
      </c>
      <c r="I23" s="8" t="s">
        <v>81</v>
      </c>
      <c r="J23" s="8">
        <v>30</v>
      </c>
      <c r="K23" s="9">
        <v>46188</v>
      </c>
      <c r="L23" s="9">
        <v>46188</v>
      </c>
      <c r="M23" s="9">
        <f t="shared" si="0"/>
        <v>46218</v>
      </c>
      <c r="N23" s="10"/>
      <c r="O23" s="10"/>
      <c r="P23" s="10"/>
      <c r="Q23" s="10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2.5" customHeight="1">
      <c r="A24" s="6">
        <v>10</v>
      </c>
      <c r="B24" s="7" t="s">
        <v>16</v>
      </c>
      <c r="C24" s="7" t="s">
        <v>82</v>
      </c>
      <c r="D24" s="7" t="s">
        <v>67</v>
      </c>
      <c r="E24" s="7" t="s">
        <v>19</v>
      </c>
      <c r="F24" s="7" t="s">
        <v>83</v>
      </c>
      <c r="G24" s="7" t="s">
        <v>70</v>
      </c>
      <c r="H24" s="7" t="s">
        <v>31</v>
      </c>
      <c r="I24" s="8" t="s">
        <v>84</v>
      </c>
      <c r="J24" s="8">
        <f t="shared" ref="J24:J25" si="2">21+11+30+30</f>
        <v>92</v>
      </c>
      <c r="K24" s="9">
        <v>46111</v>
      </c>
      <c r="L24" s="9">
        <v>46111</v>
      </c>
      <c r="M24" s="9">
        <f t="shared" si="0"/>
        <v>46203</v>
      </c>
      <c r="N24" s="10"/>
      <c r="O24" s="10"/>
      <c r="P24" s="10"/>
      <c r="Q24" s="10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2.5" customHeight="1">
      <c r="A25" s="6"/>
      <c r="B25" s="7" t="s">
        <v>16</v>
      </c>
      <c r="C25" s="7" t="s">
        <v>82</v>
      </c>
      <c r="D25" s="7" t="s">
        <v>85</v>
      </c>
      <c r="E25" s="7" t="s">
        <v>19</v>
      </c>
      <c r="F25" s="7" t="s">
        <v>83</v>
      </c>
      <c r="G25" s="7" t="s">
        <v>46</v>
      </c>
      <c r="H25" s="7" t="s">
        <v>86</v>
      </c>
      <c r="I25" s="8" t="s">
        <v>87</v>
      </c>
      <c r="J25" s="8">
        <f t="shared" si="2"/>
        <v>92</v>
      </c>
      <c r="K25" s="9">
        <v>46111</v>
      </c>
      <c r="L25" s="9">
        <v>46111</v>
      </c>
      <c r="M25" s="9">
        <f t="shared" si="0"/>
        <v>46203</v>
      </c>
      <c r="N25" s="10"/>
      <c r="O25" s="10"/>
      <c r="P25" s="10"/>
      <c r="Q25" s="10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2.5" customHeight="1">
      <c r="A26" s="6">
        <v>11</v>
      </c>
      <c r="B26" s="7" t="s">
        <v>16</v>
      </c>
      <c r="C26" s="7" t="s">
        <v>49</v>
      </c>
      <c r="D26" s="7" t="s">
        <v>88</v>
      </c>
      <c r="E26" s="7" t="s">
        <v>19</v>
      </c>
      <c r="F26" s="7" t="s">
        <v>89</v>
      </c>
      <c r="G26" s="7" t="s">
        <v>90</v>
      </c>
      <c r="H26" s="7" t="s">
        <v>91</v>
      </c>
      <c r="I26" s="8" t="s">
        <v>92</v>
      </c>
      <c r="J26" s="8">
        <v>90</v>
      </c>
      <c r="K26" s="9">
        <v>46118</v>
      </c>
      <c r="L26" s="9">
        <v>46118</v>
      </c>
      <c r="M26" s="9">
        <f t="shared" si="0"/>
        <v>46208</v>
      </c>
      <c r="N26" s="10"/>
      <c r="O26" s="10"/>
      <c r="P26" s="10"/>
      <c r="Q26" s="10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22.5" customHeight="1">
      <c r="A27" s="6"/>
      <c r="B27" s="7" t="s">
        <v>16</v>
      </c>
      <c r="C27" s="7" t="s">
        <v>49</v>
      </c>
      <c r="D27" s="7" t="s">
        <v>88</v>
      </c>
      <c r="E27" s="7" t="s">
        <v>19</v>
      </c>
      <c r="F27" s="7" t="s">
        <v>89</v>
      </c>
      <c r="G27" s="7" t="s">
        <v>93</v>
      </c>
      <c r="H27" s="7" t="s">
        <v>91</v>
      </c>
      <c r="I27" s="8" t="s">
        <v>94</v>
      </c>
      <c r="J27" s="8">
        <v>90</v>
      </c>
      <c r="K27" s="9">
        <v>46120</v>
      </c>
      <c r="L27" s="9">
        <v>46120</v>
      </c>
      <c r="M27" s="9">
        <f t="shared" si="0"/>
        <v>46210</v>
      </c>
      <c r="N27" s="10"/>
      <c r="O27" s="10"/>
      <c r="P27" s="10"/>
      <c r="Q27" s="10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2.5" customHeight="1">
      <c r="A28" s="6"/>
      <c r="B28" s="7" t="s">
        <v>16</v>
      </c>
      <c r="C28" s="7" t="s">
        <v>49</v>
      </c>
      <c r="D28" s="7" t="s">
        <v>88</v>
      </c>
      <c r="E28" s="7" t="s">
        <v>19</v>
      </c>
      <c r="F28" s="7" t="s">
        <v>89</v>
      </c>
      <c r="G28" s="7" t="s">
        <v>95</v>
      </c>
      <c r="H28" s="7" t="s">
        <v>91</v>
      </c>
      <c r="I28" s="8" t="s">
        <v>96</v>
      </c>
      <c r="J28" s="8">
        <v>90</v>
      </c>
      <c r="K28" s="9">
        <v>46118</v>
      </c>
      <c r="L28" s="9">
        <v>46118</v>
      </c>
      <c r="M28" s="9">
        <f t="shared" si="0"/>
        <v>46208</v>
      </c>
      <c r="N28" s="10"/>
      <c r="O28" s="10"/>
      <c r="P28" s="10"/>
      <c r="Q28" s="10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2.5" customHeight="1">
      <c r="A29" s="6"/>
      <c r="B29" s="7" t="s">
        <v>16</v>
      </c>
      <c r="C29" s="7" t="s">
        <v>49</v>
      </c>
      <c r="D29" s="7" t="s">
        <v>88</v>
      </c>
      <c r="E29" s="7" t="s">
        <v>19</v>
      </c>
      <c r="F29" s="7" t="s">
        <v>89</v>
      </c>
      <c r="G29" s="7" t="s">
        <v>97</v>
      </c>
      <c r="H29" s="7" t="s">
        <v>91</v>
      </c>
      <c r="I29" s="8" t="s">
        <v>98</v>
      </c>
      <c r="J29" s="8">
        <v>90</v>
      </c>
      <c r="K29" s="9">
        <v>46124</v>
      </c>
      <c r="L29" s="9">
        <v>46124</v>
      </c>
      <c r="M29" s="9">
        <f t="shared" si="0"/>
        <v>46214</v>
      </c>
      <c r="N29" s="10"/>
      <c r="O29" s="10"/>
      <c r="P29" s="10"/>
      <c r="Q29" s="10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2.5" customHeight="1">
      <c r="A30" s="6"/>
      <c r="B30" s="7" t="s">
        <v>16</v>
      </c>
      <c r="C30" s="7" t="s">
        <v>49</v>
      </c>
      <c r="D30" s="7" t="s">
        <v>88</v>
      </c>
      <c r="E30" s="7" t="s">
        <v>19</v>
      </c>
      <c r="F30" s="7" t="s">
        <v>89</v>
      </c>
      <c r="G30" s="7" t="s">
        <v>95</v>
      </c>
      <c r="H30" s="7" t="s">
        <v>91</v>
      </c>
      <c r="I30" s="8" t="s">
        <v>99</v>
      </c>
      <c r="J30" s="8">
        <v>90</v>
      </c>
      <c r="K30" s="9">
        <v>46127</v>
      </c>
      <c r="L30" s="9">
        <v>46127</v>
      </c>
      <c r="M30" s="9">
        <f t="shared" si="0"/>
        <v>46217</v>
      </c>
      <c r="N30" s="10"/>
      <c r="O30" s="10"/>
      <c r="P30" s="10"/>
      <c r="Q30" s="10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2.5" customHeight="1">
      <c r="A31" s="6">
        <v>12</v>
      </c>
      <c r="B31" s="7" t="s">
        <v>16</v>
      </c>
      <c r="C31" s="7" t="s">
        <v>82</v>
      </c>
      <c r="D31" s="7" t="s">
        <v>100</v>
      </c>
      <c r="E31" s="7" t="s">
        <v>68</v>
      </c>
      <c r="F31" s="7" t="s">
        <v>101</v>
      </c>
      <c r="G31" s="7" t="s">
        <v>102</v>
      </c>
      <c r="H31" s="7" t="s">
        <v>71</v>
      </c>
      <c r="I31" s="8" t="s">
        <v>103</v>
      </c>
      <c r="J31" s="8">
        <v>30</v>
      </c>
      <c r="K31" s="9">
        <v>46150</v>
      </c>
      <c r="L31" s="9">
        <v>46150</v>
      </c>
      <c r="M31" s="9">
        <v>46183</v>
      </c>
      <c r="N31" s="10">
        <v>20000</v>
      </c>
      <c r="O31" s="10"/>
      <c r="P31" s="10"/>
      <c r="Q31" s="10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2.5" customHeight="1">
      <c r="A32" s="6">
        <v>13</v>
      </c>
      <c r="B32" s="7" t="s">
        <v>16</v>
      </c>
      <c r="C32" s="7" t="s">
        <v>33</v>
      </c>
      <c r="D32" s="7" t="s">
        <v>104</v>
      </c>
      <c r="E32" s="7" t="s">
        <v>19</v>
      </c>
      <c r="F32" s="7" t="s">
        <v>105</v>
      </c>
      <c r="G32" s="7" t="s">
        <v>27</v>
      </c>
      <c r="H32" s="7" t="s">
        <v>91</v>
      </c>
      <c r="I32" s="8" t="s">
        <v>106</v>
      </c>
      <c r="J32" s="8">
        <v>30</v>
      </c>
      <c r="K32" s="9"/>
      <c r="L32" s="9"/>
      <c r="M32" s="9"/>
      <c r="N32" s="10"/>
      <c r="O32" s="10"/>
      <c r="P32" s="10"/>
      <c r="Q32" s="10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2.5" customHeight="1">
      <c r="A33" s="6">
        <v>14</v>
      </c>
      <c r="B33" s="7" t="s">
        <v>16</v>
      </c>
      <c r="C33" s="7" t="s">
        <v>82</v>
      </c>
      <c r="D33" s="7" t="s">
        <v>107</v>
      </c>
      <c r="E33" s="7" t="s">
        <v>68</v>
      </c>
      <c r="F33" s="7" t="s">
        <v>108</v>
      </c>
      <c r="G33" s="7" t="s">
        <v>109</v>
      </c>
      <c r="H33" s="7" t="s">
        <v>110</v>
      </c>
      <c r="I33" s="8" t="s">
        <v>111</v>
      </c>
      <c r="J33" s="8">
        <v>15</v>
      </c>
      <c r="K33" s="9">
        <v>46170</v>
      </c>
      <c r="L33" s="9">
        <v>46170</v>
      </c>
      <c r="M33" s="9">
        <v>46185</v>
      </c>
      <c r="N33" s="10"/>
      <c r="O33" s="10"/>
      <c r="P33" s="10"/>
      <c r="Q33" s="10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2.5" customHeight="1">
      <c r="A34" s="6"/>
      <c r="B34" s="7" t="s">
        <v>16</v>
      </c>
      <c r="C34" s="7" t="s">
        <v>82</v>
      </c>
      <c r="D34" s="7" t="s">
        <v>107</v>
      </c>
      <c r="E34" s="7" t="s">
        <v>68</v>
      </c>
      <c r="F34" s="7" t="s">
        <v>108</v>
      </c>
      <c r="G34" s="7" t="s">
        <v>109</v>
      </c>
      <c r="H34" s="7" t="s">
        <v>110</v>
      </c>
      <c r="I34" s="8" t="s">
        <v>112</v>
      </c>
      <c r="J34" s="8">
        <v>15</v>
      </c>
      <c r="K34" s="9">
        <v>46170</v>
      </c>
      <c r="L34" s="9">
        <v>46170</v>
      </c>
      <c r="M34" s="9">
        <v>46185</v>
      </c>
      <c r="N34" s="10"/>
      <c r="O34" s="10"/>
      <c r="P34" s="10"/>
      <c r="Q34" s="10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2.5" customHeight="1">
      <c r="A35" s="6"/>
      <c r="B35" s="7" t="s">
        <v>16</v>
      </c>
      <c r="C35" s="7" t="s">
        <v>82</v>
      </c>
      <c r="D35" s="7" t="s">
        <v>113</v>
      </c>
      <c r="E35" s="7" t="s">
        <v>68</v>
      </c>
      <c r="F35" s="7" t="s">
        <v>108</v>
      </c>
      <c r="G35" s="7" t="s">
        <v>109</v>
      </c>
      <c r="H35" s="7" t="s">
        <v>110</v>
      </c>
      <c r="I35" s="8" t="s">
        <v>114</v>
      </c>
      <c r="J35" s="8">
        <v>15</v>
      </c>
      <c r="K35" s="9">
        <v>46169</v>
      </c>
      <c r="L35" s="9">
        <v>46169</v>
      </c>
      <c r="M35" s="9">
        <v>46184</v>
      </c>
      <c r="N35" s="10"/>
      <c r="O35" s="10"/>
      <c r="P35" s="10"/>
      <c r="Q35" s="10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2.5" customHeight="1">
      <c r="A36" s="6"/>
      <c r="B36" s="7" t="s">
        <v>16</v>
      </c>
      <c r="C36" s="7" t="s">
        <v>82</v>
      </c>
      <c r="D36" s="7" t="s">
        <v>115</v>
      </c>
      <c r="E36" s="7" t="s">
        <v>68</v>
      </c>
      <c r="F36" s="7" t="s">
        <v>108</v>
      </c>
      <c r="G36" s="7" t="s">
        <v>70</v>
      </c>
      <c r="H36" s="7" t="s">
        <v>110</v>
      </c>
      <c r="I36" s="8" t="s">
        <v>116</v>
      </c>
      <c r="J36" s="8">
        <v>15</v>
      </c>
      <c r="K36" s="9">
        <v>46169</v>
      </c>
      <c r="L36" s="9">
        <v>46169</v>
      </c>
      <c r="M36" s="9">
        <v>46184</v>
      </c>
      <c r="N36" s="10"/>
      <c r="O36" s="10"/>
      <c r="P36" s="10"/>
      <c r="Q36" s="10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2.5" customHeight="1">
      <c r="A37" s="6"/>
      <c r="B37" s="7" t="s">
        <v>16</v>
      </c>
      <c r="C37" s="7" t="s">
        <v>82</v>
      </c>
      <c r="D37" s="7" t="s">
        <v>117</v>
      </c>
      <c r="E37" s="7" t="s">
        <v>68</v>
      </c>
      <c r="F37" s="7" t="s">
        <v>108</v>
      </c>
      <c r="G37" s="7" t="s">
        <v>70</v>
      </c>
      <c r="H37" s="7" t="s">
        <v>110</v>
      </c>
      <c r="I37" s="8" t="s">
        <v>118</v>
      </c>
      <c r="J37" s="8">
        <v>15</v>
      </c>
      <c r="K37" s="9">
        <v>46169</v>
      </c>
      <c r="L37" s="9">
        <v>46169</v>
      </c>
      <c r="M37" s="9">
        <v>46184</v>
      </c>
      <c r="N37" s="10"/>
      <c r="O37" s="10"/>
      <c r="P37" s="10"/>
      <c r="Q37" s="10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2.5" customHeight="1">
      <c r="A38" s="6"/>
      <c r="B38" s="7" t="s">
        <v>16</v>
      </c>
      <c r="C38" s="7" t="s">
        <v>82</v>
      </c>
      <c r="D38" s="7" t="s">
        <v>119</v>
      </c>
      <c r="E38" s="7" t="s">
        <v>68</v>
      </c>
      <c r="F38" s="7" t="s">
        <v>108</v>
      </c>
      <c r="G38" s="7" t="s">
        <v>120</v>
      </c>
      <c r="H38" s="7" t="s">
        <v>110</v>
      </c>
      <c r="I38" s="8" t="s">
        <v>121</v>
      </c>
      <c r="J38" s="8">
        <v>15</v>
      </c>
      <c r="K38" s="9">
        <v>46169</v>
      </c>
      <c r="L38" s="9">
        <v>46169</v>
      </c>
      <c r="M38" s="9">
        <v>46184</v>
      </c>
      <c r="N38" s="10"/>
      <c r="O38" s="10"/>
      <c r="P38" s="10"/>
      <c r="Q38" s="10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22.5" customHeight="1">
      <c r="A39" s="6"/>
      <c r="B39" s="7" t="s">
        <v>16</v>
      </c>
      <c r="C39" s="7" t="s">
        <v>82</v>
      </c>
      <c r="D39" s="7" t="s">
        <v>119</v>
      </c>
      <c r="E39" s="7" t="s">
        <v>68</v>
      </c>
      <c r="F39" s="7" t="s">
        <v>108</v>
      </c>
      <c r="G39" s="7" t="s">
        <v>120</v>
      </c>
      <c r="H39" s="7" t="s">
        <v>110</v>
      </c>
      <c r="I39" s="8" t="s">
        <v>122</v>
      </c>
      <c r="J39" s="8">
        <v>15</v>
      </c>
      <c r="K39" s="9">
        <v>46169</v>
      </c>
      <c r="L39" s="9">
        <v>46169</v>
      </c>
      <c r="M39" s="9">
        <v>46184</v>
      </c>
      <c r="N39" s="10"/>
      <c r="O39" s="10"/>
      <c r="P39" s="10"/>
      <c r="Q39" s="10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2.5" customHeight="1">
      <c r="A40" s="6">
        <v>15</v>
      </c>
      <c r="B40" s="7" t="s">
        <v>16</v>
      </c>
      <c r="C40" s="7" t="s">
        <v>33</v>
      </c>
      <c r="D40" s="7" t="s">
        <v>123</v>
      </c>
      <c r="E40" s="7" t="s">
        <v>19</v>
      </c>
      <c r="F40" s="7" t="s">
        <v>124</v>
      </c>
      <c r="G40" s="7" t="s">
        <v>21</v>
      </c>
      <c r="H40" s="7" t="s">
        <v>91</v>
      </c>
      <c r="I40" s="8" t="s">
        <v>125</v>
      </c>
      <c r="J40" s="8">
        <v>30</v>
      </c>
      <c r="K40" s="9">
        <v>46100</v>
      </c>
      <c r="L40" s="9">
        <v>46100</v>
      </c>
      <c r="M40" s="9">
        <f t="shared" ref="M40:M85" si="3">K40+J40</f>
        <v>46130</v>
      </c>
      <c r="N40" s="11" t="s">
        <v>126</v>
      </c>
      <c r="O40" s="10"/>
      <c r="P40" s="12">
        <v>6000</v>
      </c>
      <c r="Q40" s="10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22.5" customHeight="1">
      <c r="A41" s="6"/>
      <c r="B41" s="7" t="s">
        <v>16</v>
      </c>
      <c r="C41" s="7" t="s">
        <v>33</v>
      </c>
      <c r="D41" s="7" t="s">
        <v>123</v>
      </c>
      <c r="E41" s="7" t="s">
        <v>19</v>
      </c>
      <c r="F41" s="7" t="s">
        <v>124</v>
      </c>
      <c r="G41" s="7" t="s">
        <v>21</v>
      </c>
      <c r="H41" s="7" t="s">
        <v>91</v>
      </c>
      <c r="I41" s="8" t="s">
        <v>127</v>
      </c>
      <c r="J41" s="8">
        <v>30</v>
      </c>
      <c r="K41" s="9">
        <v>46100</v>
      </c>
      <c r="L41" s="9">
        <v>46100</v>
      </c>
      <c r="M41" s="9">
        <f t="shared" si="3"/>
        <v>46130</v>
      </c>
      <c r="N41" s="11" t="s">
        <v>128</v>
      </c>
      <c r="O41" s="10"/>
      <c r="P41" s="12">
        <v>10080</v>
      </c>
      <c r="Q41" s="10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22.5" customHeight="1">
      <c r="A42" s="6"/>
      <c r="B42" s="7" t="s">
        <v>16</v>
      </c>
      <c r="C42" s="7" t="s">
        <v>33</v>
      </c>
      <c r="D42" s="7" t="s">
        <v>129</v>
      </c>
      <c r="E42" s="7" t="s">
        <v>19</v>
      </c>
      <c r="F42" s="7" t="s">
        <v>124</v>
      </c>
      <c r="G42" s="7" t="s">
        <v>21</v>
      </c>
      <c r="H42" s="7" t="s">
        <v>31</v>
      </c>
      <c r="I42" s="8" t="s">
        <v>130</v>
      </c>
      <c r="J42" s="8">
        <v>30</v>
      </c>
      <c r="K42" s="9">
        <v>46103</v>
      </c>
      <c r="L42" s="9">
        <v>46103</v>
      </c>
      <c r="M42" s="9">
        <f t="shared" si="3"/>
        <v>46133</v>
      </c>
      <c r="N42" s="11" t="s">
        <v>131</v>
      </c>
      <c r="O42" s="10"/>
      <c r="P42" s="12">
        <v>7200</v>
      </c>
      <c r="Q42" s="10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22.5" customHeight="1">
      <c r="A43" s="6"/>
      <c r="B43" s="7" t="s">
        <v>16</v>
      </c>
      <c r="C43" s="7" t="s">
        <v>33</v>
      </c>
      <c r="D43" s="7" t="s">
        <v>57</v>
      </c>
      <c r="E43" s="7" t="s">
        <v>19</v>
      </c>
      <c r="F43" s="7" t="s">
        <v>124</v>
      </c>
      <c r="G43" s="7" t="s">
        <v>27</v>
      </c>
      <c r="H43" s="7" t="s">
        <v>31</v>
      </c>
      <c r="I43" s="8" t="s">
        <v>132</v>
      </c>
      <c r="J43" s="8">
        <v>30</v>
      </c>
      <c r="K43" s="9">
        <v>46101</v>
      </c>
      <c r="L43" s="9">
        <v>46101</v>
      </c>
      <c r="M43" s="9">
        <f t="shared" si="3"/>
        <v>46131</v>
      </c>
      <c r="N43" s="11" t="s">
        <v>133</v>
      </c>
      <c r="O43" s="10"/>
      <c r="P43" s="12">
        <v>2250</v>
      </c>
      <c r="Q43" s="10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22.5" customHeight="1">
      <c r="A44" s="6"/>
      <c r="B44" s="7" t="s">
        <v>16</v>
      </c>
      <c r="C44" s="7" t="s">
        <v>33</v>
      </c>
      <c r="D44" s="7" t="s">
        <v>57</v>
      </c>
      <c r="E44" s="7" t="s">
        <v>19</v>
      </c>
      <c r="F44" s="7" t="s">
        <v>124</v>
      </c>
      <c r="G44" s="7" t="s">
        <v>27</v>
      </c>
      <c r="H44" s="7" t="s">
        <v>31</v>
      </c>
      <c r="I44" s="8" t="s">
        <v>134</v>
      </c>
      <c r="J44" s="8">
        <v>30</v>
      </c>
      <c r="K44" s="9">
        <v>46101</v>
      </c>
      <c r="L44" s="9">
        <v>46101</v>
      </c>
      <c r="M44" s="9">
        <f t="shared" si="3"/>
        <v>46131</v>
      </c>
      <c r="N44" s="11" t="s">
        <v>135</v>
      </c>
      <c r="O44" s="10"/>
      <c r="P44" s="12">
        <v>6750</v>
      </c>
      <c r="Q44" s="10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22.5" customHeight="1">
      <c r="A45" s="6"/>
      <c r="B45" s="7" t="s">
        <v>16</v>
      </c>
      <c r="C45" s="7" t="s">
        <v>33</v>
      </c>
      <c r="D45" s="7" t="s">
        <v>57</v>
      </c>
      <c r="E45" s="7" t="s">
        <v>19</v>
      </c>
      <c r="F45" s="7" t="s">
        <v>124</v>
      </c>
      <c r="G45" s="7" t="s">
        <v>27</v>
      </c>
      <c r="H45" s="7" t="s">
        <v>31</v>
      </c>
      <c r="I45" s="8" t="s">
        <v>136</v>
      </c>
      <c r="J45" s="8">
        <v>30</v>
      </c>
      <c r="K45" s="9">
        <v>46114</v>
      </c>
      <c r="L45" s="9">
        <v>46114</v>
      </c>
      <c r="M45" s="9">
        <f t="shared" si="3"/>
        <v>46144</v>
      </c>
      <c r="N45" s="11" t="s">
        <v>131</v>
      </c>
      <c r="O45" s="10"/>
      <c r="P45" s="12">
        <v>4500</v>
      </c>
      <c r="Q45" s="10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22.5" customHeight="1">
      <c r="A46" s="6">
        <v>16</v>
      </c>
      <c r="B46" s="7" t="s">
        <v>16</v>
      </c>
      <c r="C46" s="7" t="s">
        <v>137</v>
      </c>
      <c r="D46" s="7" t="s">
        <v>138</v>
      </c>
      <c r="E46" s="7" t="s">
        <v>68</v>
      </c>
      <c r="F46" s="7" t="s">
        <v>139</v>
      </c>
      <c r="G46" s="7" t="s">
        <v>140</v>
      </c>
      <c r="H46" s="7" t="s">
        <v>31</v>
      </c>
      <c r="I46" s="8" t="s">
        <v>141</v>
      </c>
      <c r="J46" s="8">
        <v>30</v>
      </c>
      <c r="K46" s="9">
        <v>46165</v>
      </c>
      <c r="L46" s="9">
        <v>46165</v>
      </c>
      <c r="M46" s="9">
        <f t="shared" si="3"/>
        <v>46195</v>
      </c>
      <c r="N46" s="10"/>
      <c r="O46" s="10"/>
      <c r="P46" s="10"/>
      <c r="Q46" s="10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22.5" customHeight="1">
      <c r="A47" s="6"/>
      <c r="B47" s="7" t="s">
        <v>16</v>
      </c>
      <c r="C47" s="7" t="s">
        <v>137</v>
      </c>
      <c r="D47" s="7" t="s">
        <v>50</v>
      </c>
      <c r="E47" s="7" t="s">
        <v>68</v>
      </c>
      <c r="F47" s="7" t="s">
        <v>139</v>
      </c>
      <c r="G47" s="7" t="s">
        <v>142</v>
      </c>
      <c r="H47" s="7" t="s">
        <v>31</v>
      </c>
      <c r="I47" s="8" t="s">
        <v>143</v>
      </c>
      <c r="J47" s="8">
        <v>30</v>
      </c>
      <c r="K47" s="9">
        <v>46159</v>
      </c>
      <c r="L47" s="9">
        <v>46159</v>
      </c>
      <c r="M47" s="9">
        <f t="shared" si="3"/>
        <v>46189</v>
      </c>
      <c r="N47" s="10"/>
      <c r="O47" s="10"/>
      <c r="P47" s="10"/>
      <c r="Q47" s="10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22.5" customHeight="1">
      <c r="A48" s="6"/>
      <c r="B48" s="7" t="s">
        <v>16</v>
      </c>
      <c r="C48" s="7" t="s">
        <v>137</v>
      </c>
      <c r="D48" s="7" t="s">
        <v>107</v>
      </c>
      <c r="E48" s="7" t="s">
        <v>68</v>
      </c>
      <c r="F48" s="7" t="s">
        <v>139</v>
      </c>
      <c r="G48" s="7" t="s">
        <v>144</v>
      </c>
      <c r="H48" s="7" t="s">
        <v>31</v>
      </c>
      <c r="I48" s="13" t="s">
        <v>145</v>
      </c>
      <c r="J48" s="8">
        <v>30</v>
      </c>
      <c r="K48" s="9">
        <v>46163</v>
      </c>
      <c r="L48" s="9">
        <v>46163</v>
      </c>
      <c r="M48" s="9">
        <f t="shared" si="3"/>
        <v>46193</v>
      </c>
      <c r="N48" s="10"/>
      <c r="O48" s="10"/>
      <c r="P48" s="10"/>
      <c r="Q48" s="10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22.5" customHeight="1">
      <c r="A49" s="6"/>
      <c r="B49" s="7" t="s">
        <v>16</v>
      </c>
      <c r="C49" s="7" t="s">
        <v>137</v>
      </c>
      <c r="D49" s="7" t="s">
        <v>107</v>
      </c>
      <c r="E49" s="7" t="s">
        <v>68</v>
      </c>
      <c r="F49" s="7" t="s">
        <v>139</v>
      </c>
      <c r="G49" s="7" t="s">
        <v>146</v>
      </c>
      <c r="H49" s="7" t="s">
        <v>147</v>
      </c>
      <c r="I49" s="8" t="s">
        <v>148</v>
      </c>
      <c r="J49" s="8">
        <v>30</v>
      </c>
      <c r="K49" s="9">
        <v>46177</v>
      </c>
      <c r="L49" s="9">
        <v>46177</v>
      </c>
      <c r="M49" s="9">
        <f t="shared" si="3"/>
        <v>46207</v>
      </c>
      <c r="N49" s="10"/>
      <c r="O49" s="10"/>
      <c r="P49" s="10"/>
      <c r="Q49" s="10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22.5" customHeight="1">
      <c r="A50" s="6">
        <v>17</v>
      </c>
      <c r="B50" s="7" t="s">
        <v>16</v>
      </c>
      <c r="C50" s="7" t="s">
        <v>149</v>
      </c>
      <c r="D50" s="7" t="s">
        <v>150</v>
      </c>
      <c r="E50" s="7" t="s">
        <v>68</v>
      </c>
      <c r="F50" s="7" t="s">
        <v>151</v>
      </c>
      <c r="G50" s="7" t="s">
        <v>27</v>
      </c>
      <c r="H50" s="7" t="s">
        <v>152</v>
      </c>
      <c r="I50" s="8" t="s">
        <v>153</v>
      </c>
      <c r="J50" s="8">
        <v>30</v>
      </c>
      <c r="K50" s="9">
        <v>46157</v>
      </c>
      <c r="L50" s="9">
        <v>46157</v>
      </c>
      <c r="M50" s="9">
        <f t="shared" si="3"/>
        <v>46187</v>
      </c>
      <c r="N50" s="10"/>
      <c r="O50" s="10"/>
      <c r="P50" s="10"/>
      <c r="Q50" s="10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22.5" customHeight="1">
      <c r="A51" s="6"/>
      <c r="B51" s="7" t="s">
        <v>16</v>
      </c>
      <c r="C51" s="7" t="s">
        <v>149</v>
      </c>
      <c r="D51" s="7" t="s">
        <v>150</v>
      </c>
      <c r="E51" s="7" t="s">
        <v>68</v>
      </c>
      <c r="F51" s="7" t="s">
        <v>151</v>
      </c>
      <c r="G51" s="7" t="s">
        <v>27</v>
      </c>
      <c r="H51" s="7" t="s">
        <v>152</v>
      </c>
      <c r="I51" s="8" t="s">
        <v>154</v>
      </c>
      <c r="J51" s="8">
        <v>30</v>
      </c>
      <c r="K51" s="9">
        <v>46157</v>
      </c>
      <c r="L51" s="9">
        <v>46157</v>
      </c>
      <c r="M51" s="9">
        <f t="shared" si="3"/>
        <v>46187</v>
      </c>
      <c r="N51" s="10"/>
      <c r="O51" s="10"/>
      <c r="P51" s="10"/>
      <c r="Q51" s="10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22.5" customHeight="1">
      <c r="A52" s="6"/>
      <c r="B52" s="7" t="s">
        <v>16</v>
      </c>
      <c r="C52" s="7" t="s">
        <v>149</v>
      </c>
      <c r="D52" s="7" t="s">
        <v>150</v>
      </c>
      <c r="E52" s="7" t="s">
        <v>68</v>
      </c>
      <c r="F52" s="7" t="s">
        <v>151</v>
      </c>
      <c r="G52" s="7" t="s">
        <v>27</v>
      </c>
      <c r="H52" s="7" t="s">
        <v>152</v>
      </c>
      <c r="I52" s="8" t="s">
        <v>155</v>
      </c>
      <c r="J52" s="8">
        <v>30</v>
      </c>
      <c r="K52" s="9">
        <v>46157</v>
      </c>
      <c r="L52" s="9">
        <v>46157</v>
      </c>
      <c r="M52" s="9">
        <f t="shared" si="3"/>
        <v>46187</v>
      </c>
      <c r="N52" s="10"/>
      <c r="O52" s="10"/>
      <c r="P52" s="10"/>
      <c r="Q52" s="10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22.5" customHeight="1">
      <c r="A53" s="6"/>
      <c r="B53" s="7" t="s">
        <v>16</v>
      </c>
      <c r="C53" s="7" t="s">
        <v>149</v>
      </c>
      <c r="D53" s="7" t="s">
        <v>150</v>
      </c>
      <c r="E53" s="7" t="s">
        <v>68</v>
      </c>
      <c r="F53" s="7" t="s">
        <v>151</v>
      </c>
      <c r="G53" s="7" t="s">
        <v>27</v>
      </c>
      <c r="H53" s="7" t="s">
        <v>152</v>
      </c>
      <c r="I53" s="8" t="s">
        <v>156</v>
      </c>
      <c r="J53" s="8">
        <v>30</v>
      </c>
      <c r="K53" s="9">
        <v>46157</v>
      </c>
      <c r="L53" s="9">
        <v>46157</v>
      </c>
      <c r="M53" s="9">
        <f t="shared" si="3"/>
        <v>46187</v>
      </c>
      <c r="N53" s="10"/>
      <c r="O53" s="10"/>
      <c r="P53" s="10"/>
      <c r="Q53" s="10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22.5" customHeight="1">
      <c r="A54" s="6"/>
      <c r="B54" s="7" t="s">
        <v>16</v>
      </c>
      <c r="C54" s="7" t="s">
        <v>149</v>
      </c>
      <c r="D54" s="7" t="s">
        <v>150</v>
      </c>
      <c r="E54" s="7" t="s">
        <v>68</v>
      </c>
      <c r="F54" s="7" t="s">
        <v>151</v>
      </c>
      <c r="G54" s="7" t="s">
        <v>27</v>
      </c>
      <c r="H54" s="7" t="s">
        <v>152</v>
      </c>
      <c r="I54" s="8" t="s">
        <v>157</v>
      </c>
      <c r="J54" s="8">
        <v>30</v>
      </c>
      <c r="K54" s="9">
        <v>46157</v>
      </c>
      <c r="L54" s="9">
        <v>46157</v>
      </c>
      <c r="M54" s="9">
        <f t="shared" si="3"/>
        <v>46187</v>
      </c>
      <c r="N54" s="10"/>
      <c r="O54" s="10"/>
      <c r="P54" s="10"/>
      <c r="Q54" s="10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22.5" customHeight="1">
      <c r="A55" s="6"/>
      <c r="B55" s="7" t="s">
        <v>16</v>
      </c>
      <c r="C55" s="7" t="s">
        <v>149</v>
      </c>
      <c r="D55" s="7" t="s">
        <v>150</v>
      </c>
      <c r="E55" s="7" t="s">
        <v>68</v>
      </c>
      <c r="F55" s="7" t="s">
        <v>151</v>
      </c>
      <c r="G55" s="7" t="s">
        <v>27</v>
      </c>
      <c r="H55" s="7" t="s">
        <v>152</v>
      </c>
      <c r="I55" s="8" t="s">
        <v>158</v>
      </c>
      <c r="J55" s="8">
        <v>30</v>
      </c>
      <c r="K55" s="9">
        <v>46157</v>
      </c>
      <c r="L55" s="9">
        <v>46157</v>
      </c>
      <c r="M55" s="9">
        <f t="shared" si="3"/>
        <v>46187</v>
      </c>
      <c r="N55" s="10"/>
      <c r="O55" s="10"/>
      <c r="P55" s="10"/>
      <c r="Q55" s="10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22.5" customHeight="1">
      <c r="A56" s="6"/>
      <c r="B56" s="7" t="s">
        <v>16</v>
      </c>
      <c r="C56" s="7" t="s">
        <v>149</v>
      </c>
      <c r="D56" s="7" t="s">
        <v>150</v>
      </c>
      <c r="E56" s="7" t="s">
        <v>68</v>
      </c>
      <c r="F56" s="7" t="s">
        <v>151</v>
      </c>
      <c r="G56" s="7" t="s">
        <v>27</v>
      </c>
      <c r="H56" s="7" t="s">
        <v>152</v>
      </c>
      <c r="I56" s="8" t="s">
        <v>159</v>
      </c>
      <c r="J56" s="8">
        <v>30</v>
      </c>
      <c r="K56" s="9">
        <v>46157</v>
      </c>
      <c r="L56" s="9">
        <v>46157</v>
      </c>
      <c r="M56" s="9">
        <f t="shared" si="3"/>
        <v>46187</v>
      </c>
      <c r="N56" s="10"/>
      <c r="O56" s="10"/>
      <c r="P56" s="10"/>
      <c r="Q56" s="10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22.5" customHeight="1">
      <c r="A57" s="6"/>
      <c r="B57" s="7" t="s">
        <v>16</v>
      </c>
      <c r="C57" s="7" t="s">
        <v>149</v>
      </c>
      <c r="D57" s="7" t="s">
        <v>150</v>
      </c>
      <c r="E57" s="7" t="s">
        <v>68</v>
      </c>
      <c r="F57" s="7" t="s">
        <v>151</v>
      </c>
      <c r="G57" s="7" t="s">
        <v>27</v>
      </c>
      <c r="H57" s="7" t="s">
        <v>152</v>
      </c>
      <c r="I57" s="8" t="s">
        <v>160</v>
      </c>
      <c r="J57" s="8">
        <v>30</v>
      </c>
      <c r="K57" s="9">
        <v>46157</v>
      </c>
      <c r="L57" s="9">
        <v>46157</v>
      </c>
      <c r="M57" s="9">
        <f t="shared" si="3"/>
        <v>46187</v>
      </c>
      <c r="N57" s="10"/>
      <c r="O57" s="10"/>
      <c r="P57" s="10"/>
      <c r="Q57" s="10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22.5" customHeight="1">
      <c r="A58" s="6">
        <v>18</v>
      </c>
      <c r="B58" s="7" t="s">
        <v>16</v>
      </c>
      <c r="C58" s="7" t="s">
        <v>33</v>
      </c>
      <c r="D58" s="7" t="s">
        <v>161</v>
      </c>
      <c r="E58" s="7" t="s">
        <v>19</v>
      </c>
      <c r="F58" s="7" t="s">
        <v>162</v>
      </c>
      <c r="G58" s="7" t="s">
        <v>163</v>
      </c>
      <c r="H58" s="7" t="s">
        <v>152</v>
      </c>
      <c r="I58" s="8" t="s">
        <v>164</v>
      </c>
      <c r="J58" s="8">
        <v>90</v>
      </c>
      <c r="K58" s="9">
        <v>46148</v>
      </c>
      <c r="L58" s="9">
        <v>46148</v>
      </c>
      <c r="M58" s="9">
        <f t="shared" si="3"/>
        <v>46238</v>
      </c>
      <c r="N58" s="10"/>
      <c r="O58" s="10"/>
      <c r="P58" s="10"/>
      <c r="Q58" s="10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22.5" customHeight="1">
      <c r="A59" s="6"/>
      <c r="B59" s="7" t="s">
        <v>16</v>
      </c>
      <c r="C59" s="7" t="s">
        <v>33</v>
      </c>
      <c r="D59" s="7" t="s">
        <v>165</v>
      </c>
      <c r="E59" s="7" t="s">
        <v>68</v>
      </c>
      <c r="F59" s="7" t="s">
        <v>162</v>
      </c>
      <c r="G59" s="7" t="s">
        <v>163</v>
      </c>
      <c r="H59" s="7" t="s">
        <v>166</v>
      </c>
      <c r="I59" s="8" t="s">
        <v>167</v>
      </c>
      <c r="J59" s="8">
        <v>90</v>
      </c>
      <c r="K59" s="9">
        <v>46148</v>
      </c>
      <c r="L59" s="9">
        <v>46148</v>
      </c>
      <c r="M59" s="9">
        <f t="shared" si="3"/>
        <v>46238</v>
      </c>
      <c r="N59" s="10"/>
      <c r="O59" s="10"/>
      <c r="P59" s="10"/>
      <c r="Q59" s="10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22.5" customHeight="1">
      <c r="A60" s="6"/>
      <c r="B60" s="7" t="s">
        <v>16</v>
      </c>
      <c r="C60" s="7" t="s">
        <v>33</v>
      </c>
      <c r="D60" s="7" t="s">
        <v>165</v>
      </c>
      <c r="E60" s="7" t="s">
        <v>68</v>
      </c>
      <c r="F60" s="7" t="s">
        <v>162</v>
      </c>
      <c r="G60" s="7" t="s">
        <v>163</v>
      </c>
      <c r="H60" s="7" t="s">
        <v>166</v>
      </c>
      <c r="I60" s="8" t="s">
        <v>168</v>
      </c>
      <c r="J60" s="8">
        <v>90</v>
      </c>
      <c r="K60" s="9">
        <v>46148</v>
      </c>
      <c r="L60" s="9">
        <v>46148</v>
      </c>
      <c r="M60" s="9">
        <f t="shared" si="3"/>
        <v>46238</v>
      </c>
      <c r="N60" s="10"/>
      <c r="O60" s="10"/>
      <c r="P60" s="10"/>
      <c r="Q60" s="10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22.5" customHeight="1">
      <c r="A61" s="6"/>
      <c r="B61" s="7" t="s">
        <v>16</v>
      </c>
      <c r="C61" s="7" t="s">
        <v>33</v>
      </c>
      <c r="D61" s="7" t="s">
        <v>165</v>
      </c>
      <c r="E61" s="7" t="s">
        <v>68</v>
      </c>
      <c r="F61" s="7" t="s">
        <v>162</v>
      </c>
      <c r="G61" s="7" t="s">
        <v>163</v>
      </c>
      <c r="H61" s="7" t="s">
        <v>166</v>
      </c>
      <c r="I61" s="8" t="s">
        <v>169</v>
      </c>
      <c r="J61" s="8">
        <v>90</v>
      </c>
      <c r="K61" s="9">
        <v>46148</v>
      </c>
      <c r="L61" s="9">
        <v>46148</v>
      </c>
      <c r="M61" s="9">
        <f t="shared" si="3"/>
        <v>46238</v>
      </c>
      <c r="N61" s="10"/>
      <c r="O61" s="10"/>
      <c r="P61" s="10"/>
      <c r="Q61" s="10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22.5" customHeight="1">
      <c r="A62" s="6"/>
      <c r="B62" s="7" t="s">
        <v>16</v>
      </c>
      <c r="C62" s="7" t="s">
        <v>33</v>
      </c>
      <c r="D62" s="7" t="s">
        <v>170</v>
      </c>
      <c r="E62" s="7" t="s">
        <v>19</v>
      </c>
      <c r="F62" s="7" t="s">
        <v>162</v>
      </c>
      <c r="G62" s="7" t="s">
        <v>163</v>
      </c>
      <c r="H62" s="7" t="s">
        <v>31</v>
      </c>
      <c r="I62" s="8" t="s">
        <v>171</v>
      </c>
      <c r="J62" s="8">
        <v>90</v>
      </c>
      <c r="K62" s="9">
        <v>46152</v>
      </c>
      <c r="L62" s="9">
        <v>46152</v>
      </c>
      <c r="M62" s="9">
        <f t="shared" si="3"/>
        <v>46242</v>
      </c>
      <c r="N62" s="10"/>
      <c r="O62" s="10"/>
      <c r="P62" s="10"/>
      <c r="Q62" s="10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22.5" customHeight="1">
      <c r="A63" s="6"/>
      <c r="B63" s="7" t="s">
        <v>16</v>
      </c>
      <c r="C63" s="7" t="s">
        <v>33</v>
      </c>
      <c r="D63" s="7" t="s">
        <v>172</v>
      </c>
      <c r="E63" s="7" t="s">
        <v>19</v>
      </c>
      <c r="F63" s="7" t="s">
        <v>162</v>
      </c>
      <c r="G63" s="7" t="s">
        <v>163</v>
      </c>
      <c r="H63" s="7" t="s">
        <v>31</v>
      </c>
      <c r="I63" s="8" t="s">
        <v>173</v>
      </c>
      <c r="J63" s="8">
        <v>90</v>
      </c>
      <c r="K63" s="9">
        <v>46147</v>
      </c>
      <c r="L63" s="9">
        <v>46147</v>
      </c>
      <c r="M63" s="9">
        <f t="shared" si="3"/>
        <v>46237</v>
      </c>
      <c r="N63" s="10"/>
      <c r="O63" s="10"/>
      <c r="P63" s="10"/>
      <c r="Q63" s="10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22.5" customHeight="1">
      <c r="A64" s="6">
        <v>19</v>
      </c>
      <c r="B64" s="7" t="s">
        <v>16</v>
      </c>
      <c r="C64" s="7" t="s">
        <v>174</v>
      </c>
      <c r="D64" s="7" t="s">
        <v>107</v>
      </c>
      <c r="E64" s="7" t="s">
        <v>68</v>
      </c>
      <c r="F64" s="7" t="s">
        <v>175</v>
      </c>
      <c r="G64" s="7" t="s">
        <v>109</v>
      </c>
      <c r="H64" s="7" t="s">
        <v>71</v>
      </c>
      <c r="I64" s="8" t="s">
        <v>176</v>
      </c>
      <c r="J64" s="8">
        <v>30</v>
      </c>
      <c r="K64" s="9">
        <v>46135</v>
      </c>
      <c r="L64" s="9">
        <v>46135</v>
      </c>
      <c r="M64" s="9">
        <f t="shared" si="3"/>
        <v>46165</v>
      </c>
      <c r="N64" s="10"/>
      <c r="O64" s="10"/>
      <c r="P64" s="10"/>
      <c r="Q64" s="10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22.5" customHeight="1">
      <c r="A65" s="6"/>
      <c r="B65" s="7" t="s">
        <v>16</v>
      </c>
      <c r="C65" s="7" t="s">
        <v>174</v>
      </c>
      <c r="D65" s="7" t="s">
        <v>107</v>
      </c>
      <c r="E65" s="7" t="s">
        <v>68</v>
      </c>
      <c r="F65" s="7" t="s">
        <v>175</v>
      </c>
      <c r="G65" s="7" t="s">
        <v>109</v>
      </c>
      <c r="H65" s="7" t="s">
        <v>71</v>
      </c>
      <c r="I65" s="8" t="s">
        <v>177</v>
      </c>
      <c r="J65" s="8">
        <v>30</v>
      </c>
      <c r="K65" s="9">
        <v>46140</v>
      </c>
      <c r="L65" s="9">
        <v>46140</v>
      </c>
      <c r="M65" s="9">
        <f t="shared" si="3"/>
        <v>46170</v>
      </c>
      <c r="N65" s="10"/>
      <c r="O65" s="10"/>
      <c r="P65" s="10"/>
      <c r="Q65" s="10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22.5" customHeight="1">
      <c r="A66" s="6">
        <v>20</v>
      </c>
      <c r="B66" s="7" t="s">
        <v>16</v>
      </c>
      <c r="C66" s="7" t="s">
        <v>178</v>
      </c>
      <c r="D66" s="7" t="s">
        <v>179</v>
      </c>
      <c r="E66" s="7" t="s">
        <v>19</v>
      </c>
      <c r="F66" s="7" t="s">
        <v>180</v>
      </c>
      <c r="G66" s="7" t="s">
        <v>181</v>
      </c>
      <c r="H66" s="7" t="s">
        <v>147</v>
      </c>
      <c r="I66" s="8" t="s">
        <v>182</v>
      </c>
      <c r="J66" s="8">
        <v>37</v>
      </c>
      <c r="K66" s="9">
        <v>46191</v>
      </c>
      <c r="L66" s="9">
        <v>46191</v>
      </c>
      <c r="M66" s="9">
        <f t="shared" si="3"/>
        <v>46228</v>
      </c>
      <c r="N66" s="14">
        <v>100000</v>
      </c>
      <c r="O66" s="8">
        <f t="shared" ref="O66:O68" si="4">N66/30*J66</f>
        <v>123333.33333333334</v>
      </c>
      <c r="P66" s="8">
        <f t="shared" ref="P66:P68" si="5">430*15</f>
        <v>6450</v>
      </c>
      <c r="Q66" s="10">
        <f t="shared" ref="Q66:Q68" si="6">O66+P66</f>
        <v>129783.33333333334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22.5" customHeight="1">
      <c r="A67" s="6"/>
      <c r="B67" s="7" t="s">
        <v>16</v>
      </c>
      <c r="C67" s="7" t="s">
        <v>178</v>
      </c>
      <c r="D67" s="7" t="s">
        <v>179</v>
      </c>
      <c r="E67" s="7" t="s">
        <v>19</v>
      </c>
      <c r="F67" s="7" t="s">
        <v>180</v>
      </c>
      <c r="G67" s="7" t="s">
        <v>181</v>
      </c>
      <c r="H67" s="7" t="s">
        <v>71</v>
      </c>
      <c r="I67" s="8" t="s">
        <v>183</v>
      </c>
      <c r="J67" s="8">
        <v>36</v>
      </c>
      <c r="K67" s="9">
        <v>46192</v>
      </c>
      <c r="L67" s="9">
        <v>46192</v>
      </c>
      <c r="M67" s="9">
        <f t="shared" si="3"/>
        <v>46228</v>
      </c>
      <c r="N67" s="14">
        <v>60000</v>
      </c>
      <c r="O67" s="8">
        <f t="shared" si="4"/>
        <v>72000</v>
      </c>
      <c r="P67" s="8">
        <f t="shared" si="5"/>
        <v>6450</v>
      </c>
      <c r="Q67" s="10">
        <f t="shared" si="6"/>
        <v>78450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57.75" customHeight="1">
      <c r="A68" s="6"/>
      <c r="B68" s="7" t="s">
        <v>16</v>
      </c>
      <c r="C68" s="7" t="s">
        <v>178</v>
      </c>
      <c r="D68" s="7" t="s">
        <v>184</v>
      </c>
      <c r="E68" s="7" t="s">
        <v>19</v>
      </c>
      <c r="F68" s="7" t="s">
        <v>180</v>
      </c>
      <c r="G68" s="7" t="s">
        <v>181</v>
      </c>
      <c r="H68" s="7" t="s">
        <v>71</v>
      </c>
      <c r="I68" s="8" t="s">
        <v>185</v>
      </c>
      <c r="J68" s="8">
        <v>37</v>
      </c>
      <c r="K68" s="9">
        <v>46191</v>
      </c>
      <c r="L68" s="9">
        <v>46191</v>
      </c>
      <c r="M68" s="9">
        <f t="shared" si="3"/>
        <v>46228</v>
      </c>
      <c r="N68" s="8">
        <v>85000</v>
      </c>
      <c r="O68" s="8">
        <f t="shared" si="4"/>
        <v>104833.33333333334</v>
      </c>
      <c r="P68" s="8">
        <f t="shared" si="5"/>
        <v>6450</v>
      </c>
      <c r="Q68" s="10">
        <f t="shared" si="6"/>
        <v>111283.33333333334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22.5" customHeight="1">
      <c r="A69" s="6">
        <v>21</v>
      </c>
      <c r="B69" s="7" t="s">
        <v>16</v>
      </c>
      <c r="C69" s="7" t="s">
        <v>77</v>
      </c>
      <c r="D69" s="7" t="s">
        <v>170</v>
      </c>
      <c r="E69" s="7" t="s">
        <v>19</v>
      </c>
      <c r="F69" s="7" t="s">
        <v>79</v>
      </c>
      <c r="G69" s="7" t="s">
        <v>163</v>
      </c>
      <c r="H69" s="7" t="s">
        <v>110</v>
      </c>
      <c r="I69" s="8" t="s">
        <v>186</v>
      </c>
      <c r="J69" s="8">
        <v>30</v>
      </c>
      <c r="K69" s="9">
        <v>46190</v>
      </c>
      <c r="L69" s="9">
        <v>46190</v>
      </c>
      <c r="M69" s="9">
        <f t="shared" si="3"/>
        <v>46220</v>
      </c>
      <c r="N69" s="10"/>
      <c r="O69" s="10"/>
      <c r="P69" s="10"/>
      <c r="Q69" s="10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22.5" customHeight="1">
      <c r="A70" s="6"/>
      <c r="B70" s="7" t="s">
        <v>16</v>
      </c>
      <c r="C70" s="7" t="s">
        <v>77</v>
      </c>
      <c r="D70" s="7" t="s">
        <v>170</v>
      </c>
      <c r="E70" s="7" t="s">
        <v>19</v>
      </c>
      <c r="F70" s="7" t="s">
        <v>79</v>
      </c>
      <c r="G70" s="7" t="s">
        <v>163</v>
      </c>
      <c r="H70" s="7" t="s">
        <v>110</v>
      </c>
      <c r="I70" s="8" t="s">
        <v>187</v>
      </c>
      <c r="J70" s="8">
        <v>30</v>
      </c>
      <c r="K70" s="9">
        <v>46190</v>
      </c>
      <c r="L70" s="9">
        <v>46190</v>
      </c>
      <c r="M70" s="9">
        <f t="shared" si="3"/>
        <v>46220</v>
      </c>
      <c r="N70" s="10"/>
      <c r="O70" s="10"/>
      <c r="P70" s="10"/>
      <c r="Q70" s="1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22.5" customHeight="1">
      <c r="A71" s="6"/>
      <c r="B71" s="7" t="s">
        <v>16</v>
      </c>
      <c r="C71" s="7" t="s">
        <v>77</v>
      </c>
      <c r="D71" s="7" t="s">
        <v>170</v>
      </c>
      <c r="E71" s="7" t="s">
        <v>19</v>
      </c>
      <c r="F71" s="7" t="s">
        <v>79</v>
      </c>
      <c r="G71" s="7" t="s">
        <v>163</v>
      </c>
      <c r="H71" s="7" t="s">
        <v>110</v>
      </c>
      <c r="I71" s="8" t="s">
        <v>188</v>
      </c>
      <c r="J71" s="8">
        <v>30</v>
      </c>
      <c r="K71" s="9">
        <v>46190</v>
      </c>
      <c r="L71" s="9">
        <v>46190</v>
      </c>
      <c r="M71" s="9">
        <f t="shared" si="3"/>
        <v>46220</v>
      </c>
      <c r="N71" s="10"/>
      <c r="O71" s="10"/>
      <c r="P71" s="10"/>
      <c r="Q71" s="10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22.5" customHeight="1">
      <c r="A72" s="6"/>
      <c r="B72" s="7" t="s">
        <v>16</v>
      </c>
      <c r="C72" s="7" t="s">
        <v>77</v>
      </c>
      <c r="D72" s="7" t="s">
        <v>170</v>
      </c>
      <c r="E72" s="7" t="s">
        <v>19</v>
      </c>
      <c r="F72" s="7" t="s">
        <v>79</v>
      </c>
      <c r="G72" s="7" t="s">
        <v>163</v>
      </c>
      <c r="H72" s="7" t="s">
        <v>110</v>
      </c>
      <c r="I72" s="8" t="s">
        <v>189</v>
      </c>
      <c r="J72" s="8">
        <v>30</v>
      </c>
      <c r="K72" s="9">
        <v>46190</v>
      </c>
      <c r="L72" s="9">
        <v>46190</v>
      </c>
      <c r="M72" s="9">
        <f t="shared" si="3"/>
        <v>46220</v>
      </c>
      <c r="N72" s="10"/>
      <c r="O72" s="10"/>
      <c r="P72" s="10"/>
      <c r="Q72" s="10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22.5" customHeight="1">
      <c r="A73" s="6">
        <v>22</v>
      </c>
      <c r="B73" s="7" t="s">
        <v>16</v>
      </c>
      <c r="C73" s="7" t="s">
        <v>178</v>
      </c>
      <c r="D73" s="7" t="s">
        <v>170</v>
      </c>
      <c r="E73" s="7" t="s">
        <v>19</v>
      </c>
      <c r="F73" s="7" t="s">
        <v>190</v>
      </c>
      <c r="G73" s="7" t="s">
        <v>163</v>
      </c>
      <c r="H73" s="7" t="s">
        <v>91</v>
      </c>
      <c r="I73" s="8" t="s">
        <v>191</v>
      </c>
      <c r="J73" s="8">
        <v>30</v>
      </c>
      <c r="K73" s="9">
        <v>46197</v>
      </c>
      <c r="L73" s="9">
        <v>46197</v>
      </c>
      <c r="M73" s="9">
        <f t="shared" si="3"/>
        <v>46227</v>
      </c>
      <c r="N73" s="10"/>
      <c r="O73" s="10"/>
      <c r="P73" s="10"/>
      <c r="Q73" s="10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22.5" customHeight="1">
      <c r="A74" s="6"/>
      <c r="B74" s="7" t="s">
        <v>16</v>
      </c>
      <c r="C74" s="7" t="s">
        <v>178</v>
      </c>
      <c r="D74" s="7" t="s">
        <v>170</v>
      </c>
      <c r="E74" s="7" t="s">
        <v>19</v>
      </c>
      <c r="F74" s="7" t="s">
        <v>190</v>
      </c>
      <c r="G74" s="7" t="s">
        <v>163</v>
      </c>
      <c r="H74" s="7" t="s">
        <v>91</v>
      </c>
      <c r="I74" s="8" t="s">
        <v>192</v>
      </c>
      <c r="J74" s="8">
        <v>30</v>
      </c>
      <c r="K74" s="9">
        <v>46197</v>
      </c>
      <c r="L74" s="9">
        <v>46197</v>
      </c>
      <c r="M74" s="9">
        <f t="shared" si="3"/>
        <v>46227</v>
      </c>
      <c r="N74" s="10"/>
      <c r="O74" s="10"/>
      <c r="P74" s="10"/>
      <c r="Q74" s="10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22.5" customHeight="1">
      <c r="A75" s="6">
        <v>23</v>
      </c>
      <c r="B75" s="7" t="s">
        <v>16</v>
      </c>
      <c r="C75" s="7" t="s">
        <v>82</v>
      </c>
      <c r="D75" s="7" t="s">
        <v>170</v>
      </c>
      <c r="E75" s="7" t="s">
        <v>19</v>
      </c>
      <c r="F75" s="7" t="s">
        <v>193</v>
      </c>
      <c r="G75" s="7" t="s">
        <v>163</v>
      </c>
      <c r="H75" s="7" t="s">
        <v>31</v>
      </c>
      <c r="I75" s="8" t="s">
        <v>194</v>
      </c>
      <c r="J75" s="8">
        <v>30</v>
      </c>
      <c r="K75" s="9">
        <v>46197</v>
      </c>
      <c r="L75" s="9">
        <v>46197</v>
      </c>
      <c r="M75" s="9">
        <f t="shared" si="3"/>
        <v>46227</v>
      </c>
      <c r="N75" s="10"/>
      <c r="O75" s="10"/>
      <c r="P75" s="10"/>
      <c r="Q75" s="10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22.5" customHeight="1">
      <c r="A76" s="6"/>
      <c r="B76" s="7" t="s">
        <v>16</v>
      </c>
      <c r="C76" s="7" t="s">
        <v>82</v>
      </c>
      <c r="D76" s="7" t="s">
        <v>170</v>
      </c>
      <c r="E76" s="7" t="s">
        <v>19</v>
      </c>
      <c r="F76" s="7" t="s">
        <v>193</v>
      </c>
      <c r="G76" s="7" t="s">
        <v>163</v>
      </c>
      <c r="H76" s="7" t="s">
        <v>31</v>
      </c>
      <c r="I76" s="8" t="s">
        <v>195</v>
      </c>
      <c r="J76" s="8">
        <v>30</v>
      </c>
      <c r="K76" s="9">
        <v>46197</v>
      </c>
      <c r="L76" s="9">
        <v>46197</v>
      </c>
      <c r="M76" s="9">
        <f t="shared" si="3"/>
        <v>46227</v>
      </c>
      <c r="N76" s="10"/>
      <c r="O76" s="10"/>
      <c r="P76" s="10"/>
      <c r="Q76" s="10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22.5" customHeight="1">
      <c r="A77" s="6"/>
      <c r="B77" s="7" t="s">
        <v>16</v>
      </c>
      <c r="C77" s="7" t="s">
        <v>82</v>
      </c>
      <c r="D77" s="7" t="s">
        <v>170</v>
      </c>
      <c r="E77" s="7" t="s">
        <v>19</v>
      </c>
      <c r="F77" s="7" t="s">
        <v>193</v>
      </c>
      <c r="G77" s="7" t="s">
        <v>163</v>
      </c>
      <c r="H77" s="7" t="s">
        <v>31</v>
      </c>
      <c r="I77" s="8" t="s">
        <v>196</v>
      </c>
      <c r="J77" s="8">
        <v>30</v>
      </c>
      <c r="K77" s="9">
        <v>46197</v>
      </c>
      <c r="L77" s="9">
        <v>46197</v>
      </c>
      <c r="M77" s="9">
        <f t="shared" si="3"/>
        <v>46227</v>
      </c>
      <c r="N77" s="10"/>
      <c r="O77" s="10"/>
      <c r="P77" s="10"/>
      <c r="Q77" s="10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22.5" customHeight="1">
      <c r="A78" s="6"/>
      <c r="B78" s="7" t="s">
        <v>16</v>
      </c>
      <c r="C78" s="7" t="s">
        <v>82</v>
      </c>
      <c r="D78" s="7" t="s">
        <v>170</v>
      </c>
      <c r="E78" s="7" t="s">
        <v>19</v>
      </c>
      <c r="F78" s="7" t="s">
        <v>193</v>
      </c>
      <c r="G78" s="7" t="s">
        <v>163</v>
      </c>
      <c r="H78" s="7" t="s">
        <v>31</v>
      </c>
      <c r="I78" s="8" t="s">
        <v>197</v>
      </c>
      <c r="J78" s="8">
        <v>30</v>
      </c>
      <c r="K78" s="9">
        <v>46197</v>
      </c>
      <c r="L78" s="9">
        <v>46197</v>
      </c>
      <c r="M78" s="9">
        <f t="shared" si="3"/>
        <v>46227</v>
      </c>
      <c r="N78" s="10"/>
      <c r="O78" s="10"/>
      <c r="P78" s="10"/>
      <c r="Q78" s="10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22.5" customHeight="1">
      <c r="A79" s="6"/>
      <c r="B79" s="7" t="s">
        <v>16</v>
      </c>
      <c r="C79" s="7" t="s">
        <v>82</v>
      </c>
      <c r="D79" s="7" t="s">
        <v>170</v>
      </c>
      <c r="E79" s="7" t="s">
        <v>19</v>
      </c>
      <c r="F79" s="7" t="s">
        <v>193</v>
      </c>
      <c r="G79" s="7" t="s">
        <v>163</v>
      </c>
      <c r="H79" s="7" t="s">
        <v>31</v>
      </c>
      <c r="I79" s="8" t="s">
        <v>198</v>
      </c>
      <c r="J79" s="8">
        <v>30</v>
      </c>
      <c r="K79" s="9">
        <v>46197</v>
      </c>
      <c r="L79" s="9">
        <v>46197</v>
      </c>
      <c r="M79" s="9">
        <f t="shared" si="3"/>
        <v>46227</v>
      </c>
      <c r="N79" s="10"/>
      <c r="O79" s="10"/>
      <c r="P79" s="10"/>
      <c r="Q79" s="10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22.5" customHeight="1">
      <c r="A80" s="6"/>
      <c r="B80" s="7" t="s">
        <v>16</v>
      </c>
      <c r="C80" s="7" t="s">
        <v>82</v>
      </c>
      <c r="D80" s="7" t="s">
        <v>170</v>
      </c>
      <c r="E80" s="7" t="s">
        <v>19</v>
      </c>
      <c r="F80" s="7" t="s">
        <v>193</v>
      </c>
      <c r="G80" s="7" t="s">
        <v>163</v>
      </c>
      <c r="H80" s="7" t="s">
        <v>31</v>
      </c>
      <c r="I80" s="8" t="s">
        <v>199</v>
      </c>
      <c r="J80" s="8">
        <v>30</v>
      </c>
      <c r="K80" s="9">
        <v>46197</v>
      </c>
      <c r="L80" s="9">
        <v>46197</v>
      </c>
      <c r="M80" s="9">
        <f t="shared" si="3"/>
        <v>46227</v>
      </c>
      <c r="N80" s="10"/>
      <c r="O80" s="10"/>
      <c r="P80" s="10"/>
      <c r="Q80" s="10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22.5" customHeight="1">
      <c r="A81" s="6"/>
      <c r="B81" s="7" t="s">
        <v>16</v>
      </c>
      <c r="C81" s="7" t="s">
        <v>82</v>
      </c>
      <c r="D81" s="7" t="s">
        <v>172</v>
      </c>
      <c r="E81" s="7" t="s">
        <v>19</v>
      </c>
      <c r="F81" s="7" t="s">
        <v>193</v>
      </c>
      <c r="G81" s="7" t="s">
        <v>163</v>
      </c>
      <c r="H81" s="7" t="s">
        <v>31</v>
      </c>
      <c r="I81" s="8" t="s">
        <v>200</v>
      </c>
      <c r="J81" s="8">
        <v>30</v>
      </c>
      <c r="K81" s="9">
        <v>46197</v>
      </c>
      <c r="L81" s="9">
        <v>46197</v>
      </c>
      <c r="M81" s="9">
        <f t="shared" si="3"/>
        <v>46227</v>
      </c>
      <c r="N81" s="10"/>
      <c r="O81" s="10"/>
      <c r="P81" s="10"/>
      <c r="Q81" s="10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22.5" customHeight="1">
      <c r="A82" s="6"/>
      <c r="B82" s="7" t="s">
        <v>16</v>
      </c>
      <c r="C82" s="7" t="s">
        <v>82</v>
      </c>
      <c r="D82" s="7" t="s">
        <v>201</v>
      </c>
      <c r="E82" s="7" t="s">
        <v>19</v>
      </c>
      <c r="F82" s="7" t="s">
        <v>193</v>
      </c>
      <c r="G82" s="7" t="s">
        <v>163</v>
      </c>
      <c r="H82" s="7" t="s">
        <v>31</v>
      </c>
      <c r="I82" s="8" t="s">
        <v>202</v>
      </c>
      <c r="J82" s="8">
        <v>30</v>
      </c>
      <c r="K82" s="9">
        <v>46197</v>
      </c>
      <c r="L82" s="9">
        <v>46197</v>
      </c>
      <c r="M82" s="9">
        <f t="shared" si="3"/>
        <v>46227</v>
      </c>
      <c r="N82" s="10"/>
      <c r="O82" s="10"/>
      <c r="P82" s="10"/>
      <c r="Q82" s="10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22.5" customHeight="1">
      <c r="A83" s="6"/>
      <c r="B83" s="7" t="s">
        <v>16</v>
      </c>
      <c r="C83" s="7" t="s">
        <v>82</v>
      </c>
      <c r="D83" s="7" t="s">
        <v>203</v>
      </c>
      <c r="E83" s="7" t="s">
        <v>19</v>
      </c>
      <c r="F83" s="7" t="s">
        <v>193</v>
      </c>
      <c r="G83" s="7" t="s">
        <v>163</v>
      </c>
      <c r="H83" s="7" t="s">
        <v>31</v>
      </c>
      <c r="I83" s="8" t="s">
        <v>204</v>
      </c>
      <c r="J83" s="8">
        <v>30</v>
      </c>
      <c r="K83" s="9">
        <v>46197</v>
      </c>
      <c r="L83" s="9">
        <v>46197</v>
      </c>
      <c r="M83" s="9">
        <f t="shared" si="3"/>
        <v>46227</v>
      </c>
      <c r="N83" s="10"/>
      <c r="O83" s="10"/>
      <c r="P83" s="10"/>
      <c r="Q83" s="10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22.5" customHeight="1">
      <c r="A84" s="6">
        <v>24</v>
      </c>
      <c r="B84" s="7" t="s">
        <v>16</v>
      </c>
      <c r="C84" s="7" t="s">
        <v>178</v>
      </c>
      <c r="D84" s="7" t="s">
        <v>205</v>
      </c>
      <c r="E84" s="7" t="s">
        <v>19</v>
      </c>
      <c r="F84" s="7" t="s">
        <v>206</v>
      </c>
      <c r="G84" s="7" t="s">
        <v>207</v>
      </c>
      <c r="H84" s="7" t="s">
        <v>71</v>
      </c>
      <c r="I84" s="8" t="s">
        <v>208</v>
      </c>
      <c r="J84" s="8">
        <v>30</v>
      </c>
      <c r="K84" s="9">
        <v>46198</v>
      </c>
      <c r="L84" s="9">
        <v>46198</v>
      </c>
      <c r="M84" s="9">
        <f t="shared" si="3"/>
        <v>46228</v>
      </c>
      <c r="N84" s="10">
        <v>150000</v>
      </c>
      <c r="O84" s="10"/>
      <c r="P84" s="10"/>
      <c r="Q84" s="10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22.5" customHeight="1">
      <c r="A85" s="6"/>
      <c r="B85" s="7" t="s">
        <v>16</v>
      </c>
      <c r="C85" s="7" t="s">
        <v>178</v>
      </c>
      <c r="D85" s="7" t="s">
        <v>138</v>
      </c>
      <c r="E85" s="7" t="s">
        <v>19</v>
      </c>
      <c r="F85" s="7" t="s">
        <v>206</v>
      </c>
      <c r="G85" s="7" t="s">
        <v>207</v>
      </c>
      <c r="H85" s="7" t="s">
        <v>71</v>
      </c>
      <c r="I85" s="8" t="s">
        <v>209</v>
      </c>
      <c r="J85" s="8">
        <v>30</v>
      </c>
      <c r="K85" s="9">
        <v>46199</v>
      </c>
      <c r="L85" s="9">
        <v>46199</v>
      </c>
      <c r="M85" s="9">
        <f t="shared" si="3"/>
        <v>46229</v>
      </c>
      <c r="N85" s="10">
        <v>200000</v>
      </c>
      <c r="O85" s="10"/>
      <c r="P85" s="10"/>
      <c r="Q85" s="10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22.5" customHeight="1">
      <c r="A86" s="6"/>
      <c r="B86" s="7" t="s">
        <v>16</v>
      </c>
      <c r="C86" s="7" t="s">
        <v>178</v>
      </c>
      <c r="D86" s="7" t="s">
        <v>57</v>
      </c>
      <c r="E86" s="7" t="s">
        <v>19</v>
      </c>
      <c r="F86" s="7" t="s">
        <v>206</v>
      </c>
      <c r="G86" s="7" t="s">
        <v>207</v>
      </c>
      <c r="H86" s="7" t="s">
        <v>71</v>
      </c>
      <c r="I86" s="8" t="s">
        <v>210</v>
      </c>
      <c r="J86" s="8">
        <f>M86-K86</f>
        <v>12</v>
      </c>
      <c r="K86" s="9">
        <v>46217</v>
      </c>
      <c r="L86" s="9">
        <v>46217</v>
      </c>
      <c r="M86" s="9">
        <v>46229</v>
      </c>
      <c r="N86" s="10">
        <v>350000</v>
      </c>
      <c r="O86" s="10"/>
      <c r="P86" s="10"/>
      <c r="Q86" s="10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22.5" customHeight="1">
      <c r="A87" s="6"/>
      <c r="B87" s="7" t="s">
        <v>16</v>
      </c>
      <c r="C87" s="7" t="s">
        <v>211</v>
      </c>
      <c r="D87" s="7" t="s">
        <v>212</v>
      </c>
      <c r="E87" s="7" t="s">
        <v>19</v>
      </c>
      <c r="F87" s="7" t="s">
        <v>213</v>
      </c>
      <c r="G87" s="7" t="s">
        <v>214</v>
      </c>
      <c r="H87" s="7" t="s">
        <v>71</v>
      </c>
      <c r="I87" s="8" t="s">
        <v>215</v>
      </c>
      <c r="J87" s="8"/>
      <c r="K87" s="9"/>
      <c r="L87" s="9"/>
      <c r="M87" s="9">
        <v>46223</v>
      </c>
      <c r="N87" s="10"/>
      <c r="O87" s="10"/>
      <c r="P87" s="10"/>
      <c r="Q87" s="10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22.5" customHeight="1">
      <c r="A88" s="6"/>
      <c r="B88" s="7" t="s">
        <v>16</v>
      </c>
      <c r="C88" s="7" t="s">
        <v>211</v>
      </c>
      <c r="D88" s="7" t="s">
        <v>212</v>
      </c>
      <c r="E88" s="7" t="s">
        <v>19</v>
      </c>
      <c r="F88" s="7" t="s">
        <v>213</v>
      </c>
      <c r="G88" s="7" t="s">
        <v>214</v>
      </c>
      <c r="H88" s="7" t="s">
        <v>71</v>
      </c>
      <c r="I88" s="8" t="s">
        <v>216</v>
      </c>
      <c r="J88" s="8"/>
      <c r="K88" s="9"/>
      <c r="L88" s="9"/>
      <c r="M88" s="9">
        <v>46223</v>
      </c>
      <c r="N88" s="10"/>
      <c r="O88" s="10"/>
      <c r="P88" s="10"/>
      <c r="Q88" s="10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22.5" customHeight="1">
      <c r="A89" s="6"/>
      <c r="B89" s="7" t="s">
        <v>16</v>
      </c>
      <c r="C89" s="7" t="s">
        <v>211</v>
      </c>
      <c r="D89" s="7" t="s">
        <v>217</v>
      </c>
      <c r="E89" s="7" t="s">
        <v>19</v>
      </c>
      <c r="F89" s="7" t="s">
        <v>213</v>
      </c>
      <c r="G89" s="7" t="s">
        <v>218</v>
      </c>
      <c r="H89" s="7" t="s">
        <v>31</v>
      </c>
      <c r="I89" s="8" t="s">
        <v>219</v>
      </c>
      <c r="J89" s="8"/>
      <c r="K89" s="9"/>
      <c r="L89" s="9"/>
      <c r="M89" s="9">
        <v>46223</v>
      </c>
      <c r="N89" s="10"/>
      <c r="O89" s="10"/>
      <c r="P89" s="10"/>
      <c r="Q89" s="10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22.5" customHeight="1">
      <c r="A90" s="6"/>
      <c r="B90" s="7" t="s">
        <v>16</v>
      </c>
      <c r="C90" s="7" t="s">
        <v>211</v>
      </c>
      <c r="D90" s="7" t="s">
        <v>217</v>
      </c>
      <c r="E90" s="7" t="s">
        <v>19</v>
      </c>
      <c r="F90" s="7" t="s">
        <v>213</v>
      </c>
      <c r="G90" s="7" t="s">
        <v>220</v>
      </c>
      <c r="H90" s="7" t="s">
        <v>221</v>
      </c>
      <c r="I90" s="8" t="s">
        <v>222</v>
      </c>
      <c r="J90" s="8"/>
      <c r="K90" s="9"/>
      <c r="L90" s="9"/>
      <c r="M90" s="9">
        <v>46223</v>
      </c>
      <c r="N90" s="10"/>
      <c r="O90" s="10"/>
      <c r="P90" s="10"/>
      <c r="Q90" s="10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22.5" customHeight="1">
      <c r="A91" s="6"/>
      <c r="B91" s="7" t="s">
        <v>16</v>
      </c>
      <c r="C91" s="7" t="s">
        <v>211</v>
      </c>
      <c r="D91" s="7" t="s">
        <v>223</v>
      </c>
      <c r="E91" s="7" t="s">
        <v>19</v>
      </c>
      <c r="F91" s="7" t="s">
        <v>213</v>
      </c>
      <c r="G91" s="7" t="s">
        <v>224</v>
      </c>
      <c r="H91" s="7" t="s">
        <v>71</v>
      </c>
      <c r="I91" s="8" t="s">
        <v>225</v>
      </c>
      <c r="J91" s="8"/>
      <c r="K91" s="9"/>
      <c r="L91" s="9"/>
      <c r="M91" s="9">
        <v>46223</v>
      </c>
      <c r="N91" s="10"/>
      <c r="O91" s="10"/>
      <c r="P91" s="10"/>
      <c r="Q91" s="10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22.5" customHeight="1">
      <c r="A92" s="6"/>
      <c r="B92" s="7" t="s">
        <v>16</v>
      </c>
      <c r="C92" s="7" t="s">
        <v>211</v>
      </c>
      <c r="D92" s="7" t="s">
        <v>226</v>
      </c>
      <c r="E92" s="7" t="s">
        <v>19</v>
      </c>
      <c r="F92" s="7" t="s">
        <v>213</v>
      </c>
      <c r="G92" s="7" t="s">
        <v>120</v>
      </c>
      <c r="H92" s="7" t="s">
        <v>152</v>
      </c>
      <c r="I92" s="8" t="s">
        <v>227</v>
      </c>
      <c r="J92" s="8"/>
      <c r="K92" s="9"/>
      <c r="L92" s="9"/>
      <c r="M92" s="9">
        <v>46224</v>
      </c>
      <c r="N92" s="10"/>
      <c r="O92" s="10"/>
      <c r="P92" s="10"/>
      <c r="Q92" s="10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22.5" customHeight="1">
      <c r="A93" s="6"/>
      <c r="B93" s="7" t="s">
        <v>16</v>
      </c>
      <c r="C93" s="7" t="s">
        <v>211</v>
      </c>
      <c r="D93" s="7" t="s">
        <v>228</v>
      </c>
      <c r="E93" s="7" t="s">
        <v>19</v>
      </c>
      <c r="F93" s="7" t="s">
        <v>213</v>
      </c>
      <c r="G93" s="7" t="s">
        <v>218</v>
      </c>
      <c r="H93" s="7" t="s">
        <v>71</v>
      </c>
      <c r="I93" s="8" t="s">
        <v>229</v>
      </c>
      <c r="J93" s="8"/>
      <c r="K93" s="9"/>
      <c r="L93" s="9"/>
      <c r="M93" s="9">
        <v>46223</v>
      </c>
      <c r="N93" s="10"/>
      <c r="O93" s="10"/>
      <c r="P93" s="10"/>
      <c r="Q93" s="10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22.5" customHeight="1">
      <c r="A94" s="6"/>
      <c r="B94" s="7" t="s">
        <v>16</v>
      </c>
      <c r="C94" s="7" t="s">
        <v>211</v>
      </c>
      <c r="D94" s="7" t="s">
        <v>230</v>
      </c>
      <c r="E94" s="7" t="s">
        <v>19</v>
      </c>
      <c r="F94" s="7" t="s">
        <v>213</v>
      </c>
      <c r="G94" s="7" t="s">
        <v>231</v>
      </c>
      <c r="H94" s="7" t="s">
        <v>232</v>
      </c>
      <c r="I94" s="8" t="s">
        <v>233</v>
      </c>
      <c r="J94" s="8"/>
      <c r="K94" s="9"/>
      <c r="L94" s="9"/>
      <c r="M94" s="9">
        <v>46223</v>
      </c>
      <c r="N94" s="10"/>
      <c r="O94" s="10"/>
      <c r="P94" s="10"/>
      <c r="Q94" s="10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22.5" customHeight="1">
      <c r="A95" s="6"/>
      <c r="B95" s="7" t="s">
        <v>16</v>
      </c>
      <c r="C95" s="7" t="s">
        <v>211</v>
      </c>
      <c r="D95" s="7" t="s">
        <v>234</v>
      </c>
      <c r="E95" s="7" t="s">
        <v>19</v>
      </c>
      <c r="F95" s="7" t="s">
        <v>213</v>
      </c>
      <c r="G95" s="7" t="s">
        <v>235</v>
      </c>
      <c r="H95" s="7" t="s">
        <v>71</v>
      </c>
      <c r="I95" s="8" t="s">
        <v>236</v>
      </c>
      <c r="J95" s="8"/>
      <c r="K95" s="9"/>
      <c r="L95" s="9"/>
      <c r="M95" s="9">
        <v>46223</v>
      </c>
      <c r="N95" s="10"/>
      <c r="O95" s="10"/>
      <c r="P95" s="10"/>
      <c r="Q95" s="10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22.5" customHeight="1">
      <c r="A96" s="6"/>
      <c r="B96" s="7" t="s">
        <v>16</v>
      </c>
      <c r="C96" s="7" t="s">
        <v>211</v>
      </c>
      <c r="D96" s="7" t="s">
        <v>237</v>
      </c>
      <c r="E96" s="7" t="s">
        <v>19</v>
      </c>
      <c r="F96" s="7" t="s">
        <v>213</v>
      </c>
      <c r="G96" s="7" t="s">
        <v>238</v>
      </c>
      <c r="H96" s="7" t="s">
        <v>71</v>
      </c>
      <c r="I96" s="8" t="s">
        <v>239</v>
      </c>
      <c r="J96" s="8"/>
      <c r="K96" s="9"/>
      <c r="L96" s="9"/>
      <c r="M96" s="9">
        <v>46223</v>
      </c>
      <c r="N96" s="10"/>
      <c r="O96" s="10"/>
      <c r="P96" s="10"/>
      <c r="Q96" s="10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22.5" customHeight="1">
      <c r="A97" s="6"/>
      <c r="B97" s="7" t="s">
        <v>16</v>
      </c>
      <c r="C97" s="7" t="s">
        <v>211</v>
      </c>
      <c r="D97" s="7" t="s">
        <v>237</v>
      </c>
      <c r="E97" s="7" t="s">
        <v>19</v>
      </c>
      <c r="F97" s="7" t="s">
        <v>213</v>
      </c>
      <c r="G97" s="7" t="s">
        <v>238</v>
      </c>
      <c r="H97" s="7" t="s">
        <v>71</v>
      </c>
      <c r="I97" s="8" t="s">
        <v>240</v>
      </c>
      <c r="J97" s="8"/>
      <c r="K97" s="9"/>
      <c r="L97" s="9"/>
      <c r="M97" s="9">
        <v>46223</v>
      </c>
      <c r="N97" s="10"/>
      <c r="O97" s="10"/>
      <c r="P97" s="10"/>
      <c r="Q97" s="10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22.5" customHeight="1">
      <c r="A98" s="6"/>
      <c r="B98" s="7" t="s">
        <v>16</v>
      </c>
      <c r="C98" s="7" t="s">
        <v>211</v>
      </c>
      <c r="D98" s="7" t="s">
        <v>241</v>
      </c>
      <c r="E98" s="7" t="s">
        <v>19</v>
      </c>
      <c r="F98" s="7" t="s">
        <v>213</v>
      </c>
      <c r="G98" s="7" t="s">
        <v>242</v>
      </c>
      <c r="H98" s="7" t="s">
        <v>71</v>
      </c>
      <c r="I98" s="8" t="s">
        <v>243</v>
      </c>
      <c r="J98" s="8"/>
      <c r="K98" s="9"/>
      <c r="L98" s="9"/>
      <c r="M98" s="9">
        <v>46223</v>
      </c>
      <c r="N98" s="10"/>
      <c r="O98" s="10"/>
      <c r="P98" s="10"/>
      <c r="Q98" s="10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22.5" customHeight="1">
      <c r="A99" s="6"/>
      <c r="B99" s="7" t="s">
        <v>16</v>
      </c>
      <c r="C99" s="7" t="s">
        <v>211</v>
      </c>
      <c r="D99" s="7" t="s">
        <v>241</v>
      </c>
      <c r="E99" s="7" t="s">
        <v>19</v>
      </c>
      <c r="F99" s="7" t="s">
        <v>213</v>
      </c>
      <c r="G99" s="7" t="s">
        <v>244</v>
      </c>
      <c r="H99" s="7" t="s">
        <v>71</v>
      </c>
      <c r="I99" s="8" t="s">
        <v>245</v>
      </c>
      <c r="J99" s="8"/>
      <c r="K99" s="9"/>
      <c r="L99" s="9"/>
      <c r="M99" s="9">
        <v>46223</v>
      </c>
      <c r="N99" s="10"/>
      <c r="O99" s="10"/>
      <c r="P99" s="10"/>
      <c r="Q99" s="10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22.5" customHeight="1">
      <c r="A100" s="6"/>
      <c r="B100" s="7" t="s">
        <v>16</v>
      </c>
      <c r="C100" s="7" t="s">
        <v>211</v>
      </c>
      <c r="D100" s="7" t="s">
        <v>241</v>
      </c>
      <c r="E100" s="7" t="s">
        <v>19</v>
      </c>
      <c r="F100" s="7" t="s">
        <v>213</v>
      </c>
      <c r="G100" s="7" t="s">
        <v>246</v>
      </c>
      <c r="H100" s="7" t="s">
        <v>71</v>
      </c>
      <c r="I100" s="8" t="s">
        <v>247</v>
      </c>
      <c r="J100" s="8"/>
      <c r="K100" s="9"/>
      <c r="L100" s="9"/>
      <c r="M100" s="9">
        <v>46223</v>
      </c>
      <c r="N100" s="10"/>
      <c r="O100" s="10"/>
      <c r="P100" s="10"/>
      <c r="Q100" s="10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22.5" customHeight="1">
      <c r="A101" s="6"/>
      <c r="B101" s="7" t="s">
        <v>16</v>
      </c>
      <c r="C101" s="7" t="s">
        <v>211</v>
      </c>
      <c r="D101" s="7" t="s">
        <v>248</v>
      </c>
      <c r="E101" s="7" t="s">
        <v>19</v>
      </c>
      <c r="F101" s="7" t="s">
        <v>213</v>
      </c>
      <c r="G101" s="7" t="s">
        <v>109</v>
      </c>
      <c r="H101" s="7" t="s">
        <v>249</v>
      </c>
      <c r="I101" s="8" t="s">
        <v>250</v>
      </c>
      <c r="J101" s="8"/>
      <c r="K101" s="9"/>
      <c r="L101" s="9"/>
      <c r="M101" s="9">
        <v>46223</v>
      </c>
      <c r="N101" s="10"/>
      <c r="O101" s="10"/>
      <c r="P101" s="10"/>
      <c r="Q101" s="10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22.5" customHeight="1">
      <c r="A102" s="6"/>
      <c r="B102" s="7" t="s">
        <v>16</v>
      </c>
      <c r="C102" s="7" t="s">
        <v>211</v>
      </c>
      <c r="D102" s="7" t="s">
        <v>248</v>
      </c>
      <c r="E102" s="7" t="s">
        <v>19</v>
      </c>
      <c r="F102" s="7" t="s">
        <v>213</v>
      </c>
      <c r="G102" s="7" t="s">
        <v>109</v>
      </c>
      <c r="H102" s="7" t="s">
        <v>249</v>
      </c>
      <c r="I102" s="8" t="s">
        <v>251</v>
      </c>
      <c r="J102" s="8"/>
      <c r="K102" s="9"/>
      <c r="L102" s="9"/>
      <c r="M102" s="9">
        <v>46223</v>
      </c>
      <c r="N102" s="10"/>
      <c r="O102" s="10"/>
      <c r="P102" s="10"/>
      <c r="Q102" s="10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22.5" customHeight="1">
      <c r="A103" s="6"/>
      <c r="B103" s="7" t="s">
        <v>16</v>
      </c>
      <c r="C103" s="7" t="s">
        <v>211</v>
      </c>
      <c r="D103" s="7" t="s">
        <v>248</v>
      </c>
      <c r="E103" s="7" t="s">
        <v>19</v>
      </c>
      <c r="F103" s="7" t="s">
        <v>213</v>
      </c>
      <c r="G103" s="7" t="s">
        <v>109</v>
      </c>
      <c r="H103" s="7" t="s">
        <v>249</v>
      </c>
      <c r="I103" s="8" t="s">
        <v>252</v>
      </c>
      <c r="J103" s="8"/>
      <c r="K103" s="9"/>
      <c r="L103" s="9"/>
      <c r="M103" s="9">
        <v>46223</v>
      </c>
      <c r="N103" s="10"/>
      <c r="O103" s="10"/>
      <c r="P103" s="10"/>
      <c r="Q103" s="10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22.5" customHeight="1">
      <c r="A104" s="6"/>
      <c r="B104" s="7" t="s">
        <v>16</v>
      </c>
      <c r="C104" s="7" t="s">
        <v>17</v>
      </c>
      <c r="D104" s="7" t="s">
        <v>253</v>
      </c>
      <c r="E104" s="7" t="s">
        <v>19</v>
      </c>
      <c r="F104" s="7" t="s">
        <v>254</v>
      </c>
      <c r="G104" s="7" t="s">
        <v>207</v>
      </c>
      <c r="H104" s="7" t="s">
        <v>110</v>
      </c>
      <c r="I104" s="8" t="s">
        <v>255</v>
      </c>
      <c r="J104" s="8">
        <v>30</v>
      </c>
      <c r="K104" s="9">
        <v>46206</v>
      </c>
      <c r="L104" s="9">
        <v>46206</v>
      </c>
      <c r="M104" s="9">
        <f t="shared" ref="M104:M107" si="7">K104+J104</f>
        <v>46236</v>
      </c>
      <c r="N104" s="10">
        <v>35000</v>
      </c>
      <c r="O104" s="10"/>
      <c r="P104" s="10"/>
      <c r="Q104" s="10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22.5" customHeight="1">
      <c r="A105" s="6"/>
      <c r="B105" s="7" t="s">
        <v>16</v>
      </c>
      <c r="C105" s="7" t="s">
        <v>17</v>
      </c>
      <c r="D105" s="7" t="s">
        <v>253</v>
      </c>
      <c r="E105" s="7" t="s">
        <v>19</v>
      </c>
      <c r="F105" s="7" t="s">
        <v>254</v>
      </c>
      <c r="G105" s="7" t="s">
        <v>207</v>
      </c>
      <c r="H105" s="7" t="s">
        <v>110</v>
      </c>
      <c r="I105" s="8" t="s">
        <v>256</v>
      </c>
      <c r="J105" s="8">
        <v>30</v>
      </c>
      <c r="K105" s="9">
        <v>46206</v>
      </c>
      <c r="L105" s="9">
        <v>46206</v>
      </c>
      <c r="M105" s="9">
        <f t="shared" si="7"/>
        <v>46236</v>
      </c>
      <c r="N105" s="10">
        <v>35000</v>
      </c>
      <c r="O105" s="10"/>
      <c r="P105" s="10"/>
      <c r="Q105" s="10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22.5" customHeight="1">
      <c r="A106" s="6"/>
      <c r="B106" s="7" t="s">
        <v>16</v>
      </c>
      <c r="C106" s="7" t="s">
        <v>17</v>
      </c>
      <c r="D106" s="7" t="s">
        <v>253</v>
      </c>
      <c r="E106" s="7" t="s">
        <v>19</v>
      </c>
      <c r="F106" s="7" t="s">
        <v>254</v>
      </c>
      <c r="G106" s="7" t="s">
        <v>207</v>
      </c>
      <c r="H106" s="7" t="s">
        <v>110</v>
      </c>
      <c r="I106" s="8" t="s">
        <v>257</v>
      </c>
      <c r="J106" s="8">
        <v>30</v>
      </c>
      <c r="K106" s="9">
        <v>46206</v>
      </c>
      <c r="L106" s="9">
        <v>46206</v>
      </c>
      <c r="M106" s="9">
        <f t="shared" si="7"/>
        <v>46236</v>
      </c>
      <c r="N106" s="10">
        <v>35000</v>
      </c>
      <c r="O106" s="10"/>
      <c r="P106" s="10"/>
      <c r="Q106" s="10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22.5" customHeight="1">
      <c r="A107" s="6"/>
      <c r="B107" s="7" t="s">
        <v>16</v>
      </c>
      <c r="C107" s="7" t="s">
        <v>17</v>
      </c>
      <c r="D107" s="7" t="s">
        <v>253</v>
      </c>
      <c r="E107" s="7" t="s">
        <v>19</v>
      </c>
      <c r="F107" s="7" t="s">
        <v>254</v>
      </c>
      <c r="G107" s="7" t="s">
        <v>207</v>
      </c>
      <c r="H107" s="7" t="s">
        <v>110</v>
      </c>
      <c r="I107" s="8" t="s">
        <v>258</v>
      </c>
      <c r="J107" s="8">
        <v>30</v>
      </c>
      <c r="K107" s="9">
        <v>46206</v>
      </c>
      <c r="L107" s="9">
        <v>46206</v>
      </c>
      <c r="M107" s="9">
        <f t="shared" si="7"/>
        <v>46236</v>
      </c>
      <c r="N107" s="10">
        <v>35000</v>
      </c>
      <c r="O107" s="10"/>
      <c r="P107" s="10"/>
      <c r="Q107" s="10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22.5" customHeight="1">
      <c r="A108" s="6"/>
      <c r="B108" s="7" t="s">
        <v>16</v>
      </c>
      <c r="C108" s="7" t="s">
        <v>178</v>
      </c>
      <c r="D108" s="7" t="s">
        <v>57</v>
      </c>
      <c r="E108" s="7" t="s">
        <v>19</v>
      </c>
      <c r="F108" s="7" t="s">
        <v>206</v>
      </c>
      <c r="G108" s="7" t="s">
        <v>207</v>
      </c>
      <c r="H108" s="7" t="s">
        <v>71</v>
      </c>
      <c r="I108" s="15" t="s">
        <v>259</v>
      </c>
      <c r="J108" s="8">
        <v>15</v>
      </c>
      <c r="K108" s="9">
        <v>46214</v>
      </c>
      <c r="L108" s="9">
        <v>46214</v>
      </c>
      <c r="M108" s="9">
        <v>46229</v>
      </c>
      <c r="N108" s="10"/>
      <c r="O108" s="10"/>
      <c r="P108" s="10"/>
      <c r="Q108" s="10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22.5" customHeight="1">
      <c r="A109" s="6"/>
      <c r="B109" s="7" t="s">
        <v>16</v>
      </c>
      <c r="C109" s="7" t="s">
        <v>178</v>
      </c>
      <c r="D109" s="7" t="s">
        <v>57</v>
      </c>
      <c r="E109" s="7" t="s">
        <v>19</v>
      </c>
      <c r="F109" s="7" t="s">
        <v>206</v>
      </c>
      <c r="G109" s="7" t="s">
        <v>207</v>
      </c>
      <c r="H109" s="7" t="s">
        <v>71</v>
      </c>
      <c r="I109" s="8" t="s">
        <v>260</v>
      </c>
      <c r="J109" s="8">
        <v>17</v>
      </c>
      <c r="K109" s="9">
        <v>46212</v>
      </c>
      <c r="L109" s="9">
        <v>46212</v>
      </c>
      <c r="M109" s="9">
        <v>46229</v>
      </c>
      <c r="N109" s="10"/>
      <c r="O109" s="10"/>
      <c r="P109" s="10"/>
      <c r="Q109" s="10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22.5" customHeight="1">
      <c r="A110" s="6"/>
      <c r="B110" s="7" t="s">
        <v>16</v>
      </c>
      <c r="C110" s="7" t="s">
        <v>178</v>
      </c>
      <c r="D110" s="7" t="s">
        <v>261</v>
      </c>
      <c r="E110" s="7" t="s">
        <v>19</v>
      </c>
      <c r="F110" s="7" t="s">
        <v>206</v>
      </c>
      <c r="G110" s="7" t="s">
        <v>207</v>
      </c>
      <c r="H110" s="7" t="s">
        <v>71</v>
      </c>
      <c r="I110" s="8" t="s">
        <v>262</v>
      </c>
      <c r="J110" s="8">
        <v>5</v>
      </c>
      <c r="K110" s="9">
        <v>46224</v>
      </c>
      <c r="L110" s="9">
        <v>46224</v>
      </c>
      <c r="M110" s="9">
        <v>46229</v>
      </c>
      <c r="N110" s="10"/>
      <c r="O110" s="10"/>
      <c r="P110" s="10"/>
      <c r="Q110" s="10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22.5" customHeight="1">
      <c r="A111" s="6"/>
      <c r="B111" s="7" t="s">
        <v>16</v>
      </c>
      <c r="C111" s="7" t="s">
        <v>178</v>
      </c>
      <c r="D111" s="7" t="s">
        <v>263</v>
      </c>
      <c r="E111" s="7" t="s">
        <v>19</v>
      </c>
      <c r="F111" s="7" t="s">
        <v>206</v>
      </c>
      <c r="G111" s="7" t="s">
        <v>207</v>
      </c>
      <c r="H111" s="7" t="s">
        <v>71</v>
      </c>
      <c r="I111" s="8" t="s">
        <v>264</v>
      </c>
      <c r="J111" s="8">
        <v>7</v>
      </c>
      <c r="K111" s="9">
        <v>46222</v>
      </c>
      <c r="L111" s="9">
        <v>46222</v>
      </c>
      <c r="M111" s="9">
        <v>46229</v>
      </c>
      <c r="N111" s="10"/>
      <c r="O111" s="10"/>
      <c r="P111" s="10"/>
      <c r="Q111" s="10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22.5" customHeight="1">
      <c r="A112" s="6"/>
      <c r="B112" s="7" t="s">
        <v>16</v>
      </c>
      <c r="C112" s="7" t="s">
        <v>17</v>
      </c>
      <c r="D112" s="7" t="s">
        <v>57</v>
      </c>
      <c r="E112" s="7"/>
      <c r="F112" s="7" t="s">
        <v>254</v>
      </c>
      <c r="G112" s="7" t="s">
        <v>265</v>
      </c>
      <c r="H112" s="7" t="s">
        <v>31</v>
      </c>
      <c r="I112" s="8" t="s">
        <v>266</v>
      </c>
      <c r="J112" s="8">
        <v>90</v>
      </c>
      <c r="K112" s="9"/>
      <c r="L112" s="9"/>
      <c r="M112" s="9"/>
      <c r="N112" s="10"/>
      <c r="O112" s="10"/>
      <c r="P112" s="10"/>
      <c r="Q112" s="10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22.5" customHeight="1">
      <c r="A113" s="6"/>
      <c r="B113" s="7" t="s">
        <v>16</v>
      </c>
      <c r="C113" s="7" t="s">
        <v>17</v>
      </c>
      <c r="D113" s="7" t="s">
        <v>57</v>
      </c>
      <c r="E113" s="7"/>
      <c r="F113" s="7" t="s">
        <v>254</v>
      </c>
      <c r="G113" s="7" t="s">
        <v>265</v>
      </c>
      <c r="H113" s="7" t="s">
        <v>31</v>
      </c>
      <c r="I113" s="8" t="s">
        <v>267</v>
      </c>
      <c r="J113" s="8">
        <v>90</v>
      </c>
      <c r="K113" s="9"/>
      <c r="L113" s="9"/>
      <c r="M113" s="9"/>
      <c r="N113" s="10"/>
      <c r="O113" s="10"/>
      <c r="P113" s="10"/>
      <c r="Q113" s="10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22.5" customHeight="1">
      <c r="A114" s="6"/>
      <c r="B114" s="7" t="s">
        <v>16</v>
      </c>
      <c r="C114" s="7" t="s">
        <v>17</v>
      </c>
      <c r="D114" s="7" t="s">
        <v>30</v>
      </c>
      <c r="E114" s="7"/>
      <c r="F114" s="7" t="s">
        <v>254</v>
      </c>
      <c r="G114" s="7" t="s">
        <v>268</v>
      </c>
      <c r="H114" s="7" t="s">
        <v>31</v>
      </c>
      <c r="I114" s="8" t="s">
        <v>269</v>
      </c>
      <c r="J114" s="8">
        <v>90</v>
      </c>
      <c r="K114" s="9"/>
      <c r="L114" s="9"/>
      <c r="M114" s="9"/>
      <c r="N114" s="10"/>
      <c r="O114" s="10"/>
      <c r="P114" s="10"/>
      <c r="Q114" s="10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22.5" customHeight="1">
      <c r="A115" s="6"/>
      <c r="B115" s="7" t="s">
        <v>16</v>
      </c>
      <c r="C115" s="7" t="s">
        <v>17</v>
      </c>
      <c r="D115" s="7" t="s">
        <v>253</v>
      </c>
      <c r="E115" s="7" t="s">
        <v>19</v>
      </c>
      <c r="F115" s="7" t="s">
        <v>270</v>
      </c>
      <c r="G115" s="7" t="s">
        <v>207</v>
      </c>
      <c r="H115" s="7" t="s">
        <v>110</v>
      </c>
      <c r="I115" s="16" t="s">
        <v>271</v>
      </c>
      <c r="J115" s="8">
        <v>30</v>
      </c>
      <c r="K115" s="9">
        <v>46215</v>
      </c>
      <c r="L115" s="9">
        <v>46215</v>
      </c>
      <c r="M115" s="9">
        <f t="shared" ref="M115:M123" si="8">K115+J115</f>
        <v>46245</v>
      </c>
      <c r="N115" s="10">
        <v>33000</v>
      </c>
      <c r="O115" s="10"/>
      <c r="P115" s="10"/>
      <c r="Q115" s="10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22.5" customHeight="1">
      <c r="A116" s="6"/>
      <c r="B116" s="7" t="s">
        <v>16</v>
      </c>
      <c r="C116" s="7" t="s">
        <v>17</v>
      </c>
      <c r="D116" s="7" t="s">
        <v>253</v>
      </c>
      <c r="E116" s="7" t="s">
        <v>19</v>
      </c>
      <c r="F116" s="7" t="s">
        <v>270</v>
      </c>
      <c r="G116" s="7" t="s">
        <v>207</v>
      </c>
      <c r="H116" s="7" t="s">
        <v>110</v>
      </c>
      <c r="I116" s="16" t="s">
        <v>272</v>
      </c>
      <c r="J116" s="8">
        <v>30</v>
      </c>
      <c r="K116" s="9">
        <v>46215</v>
      </c>
      <c r="L116" s="9">
        <v>46215</v>
      </c>
      <c r="M116" s="9">
        <f t="shared" si="8"/>
        <v>46245</v>
      </c>
      <c r="N116" s="10">
        <v>33000</v>
      </c>
      <c r="O116" s="10"/>
      <c r="P116" s="10"/>
      <c r="Q116" s="10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22.5" customHeight="1">
      <c r="A117" s="6"/>
      <c r="B117" s="7" t="s">
        <v>16</v>
      </c>
      <c r="C117" s="7" t="s">
        <v>17</v>
      </c>
      <c r="D117" s="7" t="s">
        <v>253</v>
      </c>
      <c r="E117" s="7" t="s">
        <v>19</v>
      </c>
      <c r="F117" s="7" t="s">
        <v>270</v>
      </c>
      <c r="G117" s="7" t="s">
        <v>207</v>
      </c>
      <c r="H117" s="7" t="s">
        <v>110</v>
      </c>
      <c r="I117" s="16" t="s">
        <v>273</v>
      </c>
      <c r="J117" s="8">
        <v>30</v>
      </c>
      <c r="K117" s="9">
        <v>46215</v>
      </c>
      <c r="L117" s="9">
        <v>46215</v>
      </c>
      <c r="M117" s="9">
        <f t="shared" si="8"/>
        <v>46245</v>
      </c>
      <c r="N117" s="10">
        <v>33000</v>
      </c>
      <c r="O117" s="10"/>
      <c r="P117" s="10"/>
      <c r="Q117" s="10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22.5" customHeight="1">
      <c r="A118" s="6"/>
      <c r="B118" s="7" t="s">
        <v>16</v>
      </c>
      <c r="C118" s="7" t="s">
        <v>17</v>
      </c>
      <c r="D118" s="7" t="s">
        <v>253</v>
      </c>
      <c r="E118" s="7" t="s">
        <v>19</v>
      </c>
      <c r="F118" s="7" t="s">
        <v>270</v>
      </c>
      <c r="G118" s="7" t="s">
        <v>207</v>
      </c>
      <c r="H118" s="7" t="s">
        <v>110</v>
      </c>
      <c r="I118" s="16" t="s">
        <v>274</v>
      </c>
      <c r="J118" s="8">
        <v>30</v>
      </c>
      <c r="K118" s="9">
        <v>46215</v>
      </c>
      <c r="L118" s="9">
        <v>46215</v>
      </c>
      <c r="M118" s="9">
        <f t="shared" si="8"/>
        <v>46245</v>
      </c>
      <c r="N118" s="10">
        <v>33000</v>
      </c>
      <c r="O118" s="10"/>
      <c r="P118" s="10"/>
      <c r="Q118" s="10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22.5" customHeight="1">
      <c r="A119" s="6"/>
      <c r="B119" s="7" t="s">
        <v>16</v>
      </c>
      <c r="C119" s="7" t="s">
        <v>17</v>
      </c>
      <c r="D119" s="7" t="s">
        <v>253</v>
      </c>
      <c r="E119" s="7" t="s">
        <v>19</v>
      </c>
      <c r="F119" s="7" t="s">
        <v>270</v>
      </c>
      <c r="G119" s="7" t="s">
        <v>207</v>
      </c>
      <c r="H119" s="7" t="s">
        <v>110</v>
      </c>
      <c r="I119" s="16" t="s">
        <v>275</v>
      </c>
      <c r="J119" s="8">
        <v>30</v>
      </c>
      <c r="K119" s="9">
        <v>46215</v>
      </c>
      <c r="L119" s="9">
        <v>46215</v>
      </c>
      <c r="M119" s="9">
        <f t="shared" si="8"/>
        <v>46245</v>
      </c>
      <c r="N119" s="10">
        <v>33000</v>
      </c>
      <c r="O119" s="10"/>
      <c r="P119" s="10"/>
      <c r="Q119" s="10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22.5" customHeight="1">
      <c r="A120" s="6"/>
      <c r="B120" s="7" t="s">
        <v>16</v>
      </c>
      <c r="C120" s="7" t="s">
        <v>17</v>
      </c>
      <c r="D120" s="7" t="s">
        <v>253</v>
      </c>
      <c r="E120" s="7" t="s">
        <v>19</v>
      </c>
      <c r="F120" s="7" t="s">
        <v>270</v>
      </c>
      <c r="G120" s="7" t="s">
        <v>207</v>
      </c>
      <c r="H120" s="7" t="s">
        <v>110</v>
      </c>
      <c r="I120" s="16" t="s">
        <v>276</v>
      </c>
      <c r="J120" s="8">
        <v>30</v>
      </c>
      <c r="K120" s="9">
        <v>46215</v>
      </c>
      <c r="L120" s="9">
        <v>46215</v>
      </c>
      <c r="M120" s="9">
        <f t="shared" si="8"/>
        <v>46245</v>
      </c>
      <c r="N120" s="10">
        <v>33000</v>
      </c>
      <c r="O120" s="10"/>
      <c r="P120" s="10"/>
      <c r="Q120" s="10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22.5" customHeight="1">
      <c r="A121" s="6"/>
      <c r="B121" s="7" t="s">
        <v>16</v>
      </c>
      <c r="C121" s="7" t="s">
        <v>17</v>
      </c>
      <c r="D121" s="7" t="s">
        <v>253</v>
      </c>
      <c r="E121" s="7" t="s">
        <v>19</v>
      </c>
      <c r="F121" s="7" t="s">
        <v>270</v>
      </c>
      <c r="G121" s="7" t="s">
        <v>207</v>
      </c>
      <c r="H121" s="7" t="s">
        <v>110</v>
      </c>
      <c r="I121" s="16" t="s">
        <v>277</v>
      </c>
      <c r="J121" s="8">
        <v>30</v>
      </c>
      <c r="K121" s="9">
        <v>46215</v>
      </c>
      <c r="L121" s="9">
        <v>46215</v>
      </c>
      <c r="M121" s="9">
        <f t="shared" si="8"/>
        <v>46245</v>
      </c>
      <c r="N121" s="10">
        <v>33000</v>
      </c>
      <c r="O121" s="10"/>
      <c r="P121" s="10"/>
      <c r="Q121" s="10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22.5" customHeight="1">
      <c r="A122" s="6"/>
      <c r="B122" s="7" t="s">
        <v>16</v>
      </c>
      <c r="C122" s="7" t="s">
        <v>33</v>
      </c>
      <c r="D122" s="7" t="s">
        <v>138</v>
      </c>
      <c r="E122" s="7"/>
      <c r="F122" s="7" t="s">
        <v>162</v>
      </c>
      <c r="G122" s="7" t="s">
        <v>207</v>
      </c>
      <c r="H122" s="7" t="s">
        <v>91</v>
      </c>
      <c r="I122" s="16" t="s">
        <v>278</v>
      </c>
      <c r="J122" s="8">
        <v>30</v>
      </c>
      <c r="K122" s="9">
        <v>46218</v>
      </c>
      <c r="L122" s="9">
        <v>46218</v>
      </c>
      <c r="M122" s="9">
        <f t="shared" si="8"/>
        <v>46248</v>
      </c>
      <c r="N122" s="10">
        <v>35000</v>
      </c>
      <c r="O122" s="10"/>
      <c r="P122" s="10"/>
      <c r="Q122" s="10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22.5" customHeight="1">
      <c r="A123" s="6"/>
      <c r="B123" s="7" t="s">
        <v>16</v>
      </c>
      <c r="C123" s="7" t="s">
        <v>33</v>
      </c>
      <c r="D123" s="7" t="s">
        <v>205</v>
      </c>
      <c r="E123" s="7"/>
      <c r="F123" s="7" t="s">
        <v>162</v>
      </c>
      <c r="G123" s="7" t="s">
        <v>207</v>
      </c>
      <c r="H123" s="7" t="s">
        <v>91</v>
      </c>
      <c r="I123" s="16" t="s">
        <v>279</v>
      </c>
      <c r="J123" s="8">
        <v>30</v>
      </c>
      <c r="K123" s="9">
        <v>46218</v>
      </c>
      <c r="L123" s="9">
        <v>46218</v>
      </c>
      <c r="M123" s="9">
        <f t="shared" si="8"/>
        <v>46248</v>
      </c>
      <c r="N123" s="10">
        <v>55000</v>
      </c>
      <c r="O123" s="10"/>
      <c r="P123" s="10"/>
      <c r="Q123" s="10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</sheetData>
  <dataValidations count="2">
    <dataValidation type="custom" allowBlank="1" showDropDown="1" sqref="K3:M123" xr:uid="{00000000-0002-0000-0000-000000000000}">
      <formula1>OR(NOT(ISERROR(DATEVALUE(K3))), AND(ISNUMBER(K3), LEFT(CELL("format", K3))="D"))</formula1>
    </dataValidation>
    <dataValidation type="custom" allowBlank="1" showDropDown="1" sqref="J3:J123" xr:uid="{00000000-0002-0000-0000-000001000000}">
      <formula1>AND(ISNUMBER(J3),(NOT(OR(NOT(ISERROR(DATEVALUE(J3))), AND(ISNUMBER(J3), LEFT(CELL("format", J3))="D")))))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32"/>
  <sheetViews>
    <sheetView workbookViewId="0"/>
  </sheetViews>
  <sheetFormatPr defaultColWidth="12.6640625" defaultRowHeight="15.75" customHeight="1"/>
  <cols>
    <col min="1" max="2" width="13.33203125" customWidth="1"/>
    <col min="3" max="3" width="15.88671875" customWidth="1"/>
    <col min="4" max="4" width="31.44140625" customWidth="1"/>
    <col min="5" max="5" width="22.21875" customWidth="1"/>
    <col min="6" max="6" width="15" customWidth="1"/>
    <col min="7" max="7" width="22.77734375" customWidth="1"/>
    <col min="8" max="8" width="67.21875" customWidth="1"/>
    <col min="10" max="10" width="16.44140625" customWidth="1"/>
    <col min="11" max="12" width="16.109375" customWidth="1"/>
  </cols>
  <sheetData>
    <row r="1" spans="1:12" ht="13.2">
      <c r="I1" s="17"/>
    </row>
    <row r="2" spans="1:12" ht="22.5" customHeight="1">
      <c r="A2" s="18" t="s">
        <v>0</v>
      </c>
      <c r="B2" s="19" t="s">
        <v>1</v>
      </c>
      <c r="C2" s="19" t="s">
        <v>2</v>
      </c>
      <c r="D2" s="18" t="s">
        <v>3</v>
      </c>
      <c r="E2" s="18" t="s">
        <v>5</v>
      </c>
      <c r="F2" s="18" t="s">
        <v>6</v>
      </c>
      <c r="G2" s="18" t="s">
        <v>7</v>
      </c>
      <c r="H2" s="18" t="s">
        <v>8</v>
      </c>
      <c r="I2" s="20" t="s">
        <v>9</v>
      </c>
      <c r="J2" s="18" t="s">
        <v>10</v>
      </c>
      <c r="K2" s="19" t="s">
        <v>280</v>
      </c>
      <c r="L2" s="18" t="s">
        <v>11</v>
      </c>
    </row>
    <row r="3" spans="1:12" ht="22.5" customHeight="1">
      <c r="A3" s="21">
        <v>1</v>
      </c>
      <c r="B3" s="16" t="s">
        <v>281</v>
      </c>
      <c r="C3" s="16" t="s">
        <v>137</v>
      </c>
      <c r="D3" s="16" t="s">
        <v>282</v>
      </c>
      <c r="E3" s="16" t="s">
        <v>283</v>
      </c>
      <c r="F3" s="16" t="s">
        <v>284</v>
      </c>
      <c r="G3" s="16" t="s">
        <v>91</v>
      </c>
      <c r="H3" s="22"/>
      <c r="I3" s="22"/>
      <c r="J3" s="23"/>
      <c r="K3" s="23"/>
      <c r="L3" s="23">
        <f t="shared" ref="L3:L6" si="0">J3+I3</f>
        <v>0</v>
      </c>
    </row>
    <row r="4" spans="1:12" ht="22.5" customHeight="1">
      <c r="A4" s="21">
        <v>2</v>
      </c>
      <c r="B4" s="16" t="s">
        <v>281</v>
      </c>
      <c r="C4" s="16" t="s">
        <v>137</v>
      </c>
      <c r="D4" s="16" t="s">
        <v>285</v>
      </c>
      <c r="E4" s="16" t="s">
        <v>139</v>
      </c>
      <c r="F4" s="16" t="s">
        <v>286</v>
      </c>
      <c r="G4" s="16" t="s">
        <v>91</v>
      </c>
      <c r="H4" s="24" t="s">
        <v>287</v>
      </c>
      <c r="I4" s="24">
        <v>30</v>
      </c>
      <c r="J4" s="23">
        <v>46178</v>
      </c>
      <c r="K4" s="23"/>
      <c r="L4" s="23">
        <f t="shared" si="0"/>
        <v>46208</v>
      </c>
    </row>
    <row r="5" spans="1:12" ht="22.5" customHeight="1">
      <c r="A5" s="21"/>
      <c r="B5" s="16" t="s">
        <v>281</v>
      </c>
      <c r="C5" s="16" t="s">
        <v>137</v>
      </c>
      <c r="D5" s="16" t="s">
        <v>285</v>
      </c>
      <c r="E5" s="16" t="s">
        <v>139</v>
      </c>
      <c r="F5" s="16" t="s">
        <v>288</v>
      </c>
      <c r="G5" s="16" t="s">
        <v>91</v>
      </c>
      <c r="H5" s="24" t="s">
        <v>289</v>
      </c>
      <c r="I5" s="24">
        <v>30</v>
      </c>
      <c r="J5" s="23">
        <v>46178</v>
      </c>
      <c r="K5" s="23"/>
      <c r="L5" s="23">
        <f t="shared" si="0"/>
        <v>46208</v>
      </c>
    </row>
    <row r="6" spans="1:12" ht="22.5" customHeight="1">
      <c r="A6" s="21"/>
      <c r="B6" s="16" t="s">
        <v>281</v>
      </c>
      <c r="C6" s="16" t="s">
        <v>137</v>
      </c>
      <c r="D6" s="16" t="s">
        <v>282</v>
      </c>
      <c r="E6" s="16" t="s">
        <v>139</v>
      </c>
      <c r="F6" s="16" t="s">
        <v>290</v>
      </c>
      <c r="G6" s="16" t="s">
        <v>91</v>
      </c>
      <c r="H6" s="24" t="s">
        <v>291</v>
      </c>
      <c r="I6" s="24">
        <v>30</v>
      </c>
      <c r="J6" s="23">
        <v>46175</v>
      </c>
      <c r="K6" s="23"/>
      <c r="L6" s="23">
        <f t="shared" si="0"/>
        <v>46205</v>
      </c>
    </row>
    <row r="7" spans="1:12" ht="22.5" customHeight="1">
      <c r="A7" s="21">
        <v>3</v>
      </c>
      <c r="B7" s="16" t="s">
        <v>281</v>
      </c>
      <c r="C7" s="16" t="s">
        <v>292</v>
      </c>
      <c r="D7" s="16" t="s">
        <v>293</v>
      </c>
      <c r="E7" s="16" t="s">
        <v>294</v>
      </c>
      <c r="F7" s="16" t="s">
        <v>295</v>
      </c>
      <c r="G7" s="16" t="s">
        <v>147</v>
      </c>
      <c r="H7" s="24" t="s">
        <v>296</v>
      </c>
      <c r="I7" s="24">
        <v>30</v>
      </c>
      <c r="J7" s="23">
        <v>46188</v>
      </c>
      <c r="K7" s="23">
        <v>46203</v>
      </c>
      <c r="L7" s="23">
        <f>J7+30</f>
        <v>46218</v>
      </c>
    </row>
    <row r="8" spans="1:12" ht="22.5" customHeight="1">
      <c r="A8" s="21"/>
      <c r="B8" s="16" t="s">
        <v>281</v>
      </c>
      <c r="C8" s="16" t="s">
        <v>292</v>
      </c>
      <c r="D8" s="16" t="s">
        <v>297</v>
      </c>
      <c r="E8" s="16" t="s">
        <v>294</v>
      </c>
      <c r="F8" s="16" t="s">
        <v>295</v>
      </c>
      <c r="G8" s="16" t="s">
        <v>91</v>
      </c>
      <c r="H8" s="24" t="s">
        <v>298</v>
      </c>
      <c r="I8" s="24">
        <v>30</v>
      </c>
      <c r="J8" s="23">
        <v>46181</v>
      </c>
      <c r="K8" s="23">
        <v>46196</v>
      </c>
      <c r="L8" s="23">
        <f t="shared" ref="L8:L10" si="1">J8+I8</f>
        <v>46211</v>
      </c>
    </row>
    <row r="9" spans="1:12" ht="22.5" customHeight="1">
      <c r="A9" s="21"/>
      <c r="B9" s="16" t="s">
        <v>281</v>
      </c>
      <c r="C9" s="16" t="s">
        <v>292</v>
      </c>
      <c r="D9" s="16" t="s">
        <v>299</v>
      </c>
      <c r="E9" s="16" t="s">
        <v>294</v>
      </c>
      <c r="F9" s="16" t="s">
        <v>295</v>
      </c>
      <c r="G9" s="16" t="s">
        <v>300</v>
      </c>
      <c r="H9" s="24" t="s">
        <v>301</v>
      </c>
      <c r="I9" s="24">
        <v>30</v>
      </c>
      <c r="J9" s="23">
        <v>46177</v>
      </c>
      <c r="K9" s="23">
        <v>46192</v>
      </c>
      <c r="L9" s="23">
        <f t="shared" si="1"/>
        <v>46207</v>
      </c>
    </row>
    <row r="10" spans="1:12" ht="22.5" customHeight="1">
      <c r="A10" s="21"/>
      <c r="B10" s="25" t="s">
        <v>281</v>
      </c>
      <c r="C10" s="25" t="s">
        <v>292</v>
      </c>
      <c r="D10" s="25" t="s">
        <v>302</v>
      </c>
      <c r="E10" s="25" t="s">
        <v>294</v>
      </c>
      <c r="F10" s="25" t="s">
        <v>295</v>
      </c>
      <c r="G10" s="25" t="s">
        <v>303</v>
      </c>
      <c r="H10" s="26" t="s">
        <v>296</v>
      </c>
      <c r="I10" s="26">
        <v>30</v>
      </c>
      <c r="J10" s="27">
        <v>46176</v>
      </c>
      <c r="K10" s="27">
        <v>46191</v>
      </c>
      <c r="L10" s="27">
        <f t="shared" si="1"/>
        <v>46206</v>
      </c>
    </row>
    <row r="11" spans="1:12" ht="22.5" customHeight="1">
      <c r="A11" s="21">
        <v>4</v>
      </c>
      <c r="B11" s="16" t="s">
        <v>281</v>
      </c>
      <c r="C11" s="16" t="s">
        <v>43</v>
      </c>
      <c r="D11" s="16" t="s">
        <v>304</v>
      </c>
      <c r="E11" s="16" t="s">
        <v>305</v>
      </c>
      <c r="F11" s="16" t="s">
        <v>306</v>
      </c>
      <c r="G11" s="16" t="s">
        <v>91</v>
      </c>
      <c r="H11" s="24" t="s">
        <v>307</v>
      </c>
      <c r="I11" s="22"/>
      <c r="J11" s="23"/>
      <c r="K11" s="23" t="e">
        <f>#REF!*#REF!</f>
        <v>#REF!</v>
      </c>
      <c r="L11" s="23"/>
    </row>
    <row r="12" spans="1:12" ht="22.5" customHeight="1">
      <c r="A12" s="21"/>
      <c r="B12" s="16" t="s">
        <v>281</v>
      </c>
      <c r="C12" s="16" t="s">
        <v>43</v>
      </c>
      <c r="D12" s="16" t="s">
        <v>304</v>
      </c>
      <c r="E12" s="16" t="s">
        <v>305</v>
      </c>
      <c r="F12" s="16" t="s">
        <v>308</v>
      </c>
      <c r="G12" s="16" t="s">
        <v>110</v>
      </c>
      <c r="H12" s="24" t="s">
        <v>309</v>
      </c>
      <c r="I12" s="22"/>
      <c r="J12" s="23"/>
      <c r="K12" s="23"/>
      <c r="L12" s="23"/>
    </row>
    <row r="13" spans="1:12" ht="22.5" customHeight="1">
      <c r="A13" s="21"/>
      <c r="B13" s="16" t="s">
        <v>281</v>
      </c>
      <c r="C13" s="16" t="s">
        <v>137</v>
      </c>
      <c r="D13" s="16" t="s">
        <v>310</v>
      </c>
      <c r="E13" s="16" t="s">
        <v>305</v>
      </c>
      <c r="F13" s="16" t="s">
        <v>311</v>
      </c>
      <c r="G13" s="16" t="s">
        <v>91</v>
      </c>
      <c r="H13" s="16" t="s">
        <v>312</v>
      </c>
      <c r="I13" s="16">
        <v>30</v>
      </c>
      <c r="J13" s="28"/>
      <c r="K13" s="23"/>
      <c r="L13" s="23"/>
    </row>
    <row r="14" spans="1:12" ht="22.5" customHeight="1">
      <c r="A14" s="21">
        <v>5</v>
      </c>
      <c r="B14" s="16" t="s">
        <v>281</v>
      </c>
      <c r="C14" s="16" t="s">
        <v>137</v>
      </c>
      <c r="D14" s="16" t="s">
        <v>313</v>
      </c>
      <c r="E14" s="16" t="s">
        <v>213</v>
      </c>
      <c r="F14" s="16" t="s">
        <v>314</v>
      </c>
      <c r="G14" s="16" t="s">
        <v>147</v>
      </c>
      <c r="H14" s="16" t="s">
        <v>315</v>
      </c>
      <c r="I14" s="16">
        <v>30</v>
      </c>
      <c r="J14" s="28"/>
      <c r="K14" s="23"/>
      <c r="L14" s="23"/>
    </row>
    <row r="15" spans="1:12" ht="22.5" customHeight="1">
      <c r="A15" s="21"/>
      <c r="B15" s="16" t="s">
        <v>281</v>
      </c>
      <c r="C15" s="16" t="s">
        <v>137</v>
      </c>
      <c r="D15" s="16" t="s">
        <v>313</v>
      </c>
      <c r="E15" s="16" t="s">
        <v>213</v>
      </c>
      <c r="F15" s="16" t="s">
        <v>314</v>
      </c>
      <c r="G15" s="16" t="s">
        <v>152</v>
      </c>
      <c r="H15" s="16" t="s">
        <v>316</v>
      </c>
      <c r="I15" s="16">
        <v>30</v>
      </c>
      <c r="J15" s="28"/>
      <c r="K15" s="23"/>
      <c r="L15" s="23"/>
    </row>
    <row r="16" spans="1:12" ht="22.5" customHeight="1">
      <c r="A16" s="21"/>
      <c r="B16" s="16" t="s">
        <v>281</v>
      </c>
      <c r="C16" s="16" t="s">
        <v>137</v>
      </c>
      <c r="D16" s="16" t="s">
        <v>317</v>
      </c>
      <c r="E16" s="16" t="s">
        <v>213</v>
      </c>
      <c r="F16" s="16" t="s">
        <v>314</v>
      </c>
      <c r="G16" s="16" t="s">
        <v>91</v>
      </c>
      <c r="H16" s="16" t="s">
        <v>318</v>
      </c>
      <c r="I16" s="16">
        <v>30</v>
      </c>
      <c r="J16" s="28"/>
      <c r="K16" s="23"/>
      <c r="L16" s="23"/>
    </row>
    <row r="17" spans="1:12" ht="22.5" customHeight="1">
      <c r="A17" s="21"/>
      <c r="B17" s="16" t="s">
        <v>281</v>
      </c>
      <c r="C17" s="16" t="s">
        <v>137</v>
      </c>
      <c r="D17" s="16" t="s">
        <v>285</v>
      </c>
      <c r="E17" s="16" t="s">
        <v>213</v>
      </c>
      <c r="F17" s="16" t="s">
        <v>319</v>
      </c>
      <c r="G17" s="16" t="s">
        <v>91</v>
      </c>
      <c r="H17" s="16" t="s">
        <v>320</v>
      </c>
      <c r="I17" s="16">
        <v>30</v>
      </c>
      <c r="J17" s="28"/>
      <c r="K17" s="23"/>
      <c r="L17" s="23"/>
    </row>
    <row r="18" spans="1:12" ht="22.5" customHeight="1">
      <c r="A18" s="21"/>
      <c r="B18" s="16" t="s">
        <v>281</v>
      </c>
      <c r="C18" s="16" t="s">
        <v>137</v>
      </c>
      <c r="D18" s="16" t="s">
        <v>321</v>
      </c>
      <c r="E18" s="16" t="s">
        <v>213</v>
      </c>
      <c r="F18" s="16" t="s">
        <v>322</v>
      </c>
      <c r="G18" s="16" t="s">
        <v>91</v>
      </c>
      <c r="H18" s="16" t="s">
        <v>323</v>
      </c>
      <c r="I18" s="16">
        <v>30</v>
      </c>
      <c r="J18" s="28"/>
      <c r="K18" s="23"/>
      <c r="L18" s="23"/>
    </row>
    <row r="19" spans="1:12" ht="22.5" customHeight="1">
      <c r="A19" s="21"/>
      <c r="B19" s="16" t="s">
        <v>281</v>
      </c>
      <c r="C19" s="16" t="s">
        <v>137</v>
      </c>
      <c r="D19" s="16" t="s">
        <v>324</v>
      </c>
      <c r="E19" s="16" t="s">
        <v>213</v>
      </c>
      <c r="F19" s="16" t="s">
        <v>314</v>
      </c>
      <c r="G19" s="16" t="s">
        <v>91</v>
      </c>
      <c r="H19" s="16" t="s">
        <v>325</v>
      </c>
      <c r="I19" s="16">
        <v>30</v>
      </c>
      <c r="J19" s="28"/>
      <c r="K19" s="23"/>
      <c r="L19" s="23"/>
    </row>
    <row r="20" spans="1:12" ht="22.5" customHeight="1">
      <c r="A20" s="21"/>
      <c r="B20" s="16" t="s">
        <v>281</v>
      </c>
      <c r="C20" s="16" t="s">
        <v>137</v>
      </c>
      <c r="D20" s="16"/>
      <c r="E20" s="16" t="s">
        <v>213</v>
      </c>
      <c r="F20" s="16" t="s">
        <v>326</v>
      </c>
      <c r="G20" s="16" t="s">
        <v>71</v>
      </c>
      <c r="H20" s="16" t="s">
        <v>327</v>
      </c>
      <c r="I20" s="16">
        <v>30</v>
      </c>
      <c r="J20" s="28"/>
      <c r="K20" s="23"/>
      <c r="L20" s="23"/>
    </row>
    <row r="21" spans="1:12" ht="22.5" customHeight="1">
      <c r="A21" s="21"/>
      <c r="B21" s="16" t="s">
        <v>281</v>
      </c>
      <c r="C21" s="16" t="s">
        <v>137</v>
      </c>
      <c r="D21" s="16" t="s">
        <v>328</v>
      </c>
      <c r="E21" s="16" t="s">
        <v>213</v>
      </c>
      <c r="F21" s="16" t="s">
        <v>329</v>
      </c>
      <c r="G21" s="16" t="s">
        <v>91</v>
      </c>
      <c r="H21" s="16" t="s">
        <v>330</v>
      </c>
      <c r="I21" s="16">
        <v>30</v>
      </c>
      <c r="J21" s="28"/>
      <c r="K21" s="23"/>
      <c r="L21" s="23"/>
    </row>
    <row r="22" spans="1:12" ht="22.5" customHeight="1">
      <c r="A22" s="21"/>
      <c r="B22" s="16" t="s">
        <v>281</v>
      </c>
      <c r="C22" s="16" t="s">
        <v>137</v>
      </c>
      <c r="D22" s="16" t="s">
        <v>302</v>
      </c>
      <c r="E22" s="16" t="s">
        <v>213</v>
      </c>
      <c r="F22" s="16" t="s">
        <v>314</v>
      </c>
      <c r="G22" s="16" t="s">
        <v>331</v>
      </c>
      <c r="H22" s="16" t="s">
        <v>332</v>
      </c>
      <c r="I22" s="16">
        <v>30</v>
      </c>
      <c r="J22" s="28"/>
      <c r="K22" s="23"/>
      <c r="L22" s="23"/>
    </row>
    <row r="23" spans="1:12" ht="22.5" customHeight="1">
      <c r="A23" s="21"/>
      <c r="B23" s="16" t="s">
        <v>281</v>
      </c>
      <c r="C23" s="16" t="s">
        <v>137</v>
      </c>
      <c r="D23" s="16" t="s">
        <v>302</v>
      </c>
      <c r="E23" s="16" t="s">
        <v>213</v>
      </c>
      <c r="F23" s="16" t="s">
        <v>314</v>
      </c>
      <c r="G23" s="16" t="s">
        <v>331</v>
      </c>
      <c r="H23" s="16" t="s">
        <v>332</v>
      </c>
      <c r="I23" s="16">
        <v>30</v>
      </c>
      <c r="J23" s="28"/>
      <c r="K23" s="23"/>
      <c r="L23" s="23"/>
    </row>
    <row r="24" spans="1:12" ht="22.5" customHeight="1">
      <c r="A24" s="21"/>
      <c r="B24" s="16" t="s">
        <v>281</v>
      </c>
      <c r="C24" s="16" t="s">
        <v>137</v>
      </c>
      <c r="D24" s="16" t="s">
        <v>302</v>
      </c>
      <c r="E24" s="16" t="s">
        <v>213</v>
      </c>
      <c r="F24" s="16" t="s">
        <v>314</v>
      </c>
      <c r="G24" s="16" t="s">
        <v>331</v>
      </c>
      <c r="H24" s="16" t="s">
        <v>332</v>
      </c>
      <c r="I24" s="16">
        <v>30</v>
      </c>
      <c r="J24" s="28"/>
      <c r="K24" s="23"/>
      <c r="L24" s="23"/>
    </row>
    <row r="25" spans="1:12" ht="22.5" customHeight="1">
      <c r="A25" s="21"/>
      <c r="B25" s="16" t="s">
        <v>281</v>
      </c>
      <c r="C25" s="16" t="s">
        <v>137</v>
      </c>
      <c r="D25" s="16" t="s">
        <v>302</v>
      </c>
      <c r="E25" s="16" t="s">
        <v>213</v>
      </c>
      <c r="F25" s="16" t="s">
        <v>314</v>
      </c>
      <c r="G25" s="16" t="s">
        <v>331</v>
      </c>
      <c r="H25" s="16" t="s">
        <v>332</v>
      </c>
      <c r="I25" s="16">
        <v>30</v>
      </c>
      <c r="J25" s="28"/>
      <c r="K25" s="23"/>
      <c r="L25" s="23"/>
    </row>
    <row r="26" spans="1:12" ht="22.5" customHeight="1">
      <c r="A26" s="21"/>
      <c r="B26" s="16" t="s">
        <v>281</v>
      </c>
      <c r="C26" s="16" t="s">
        <v>137</v>
      </c>
      <c r="D26" s="16" t="s">
        <v>333</v>
      </c>
      <c r="E26" s="16" t="s">
        <v>213</v>
      </c>
      <c r="F26" s="16" t="s">
        <v>314</v>
      </c>
      <c r="G26" s="16" t="s">
        <v>334</v>
      </c>
      <c r="H26" s="16" t="s">
        <v>335</v>
      </c>
      <c r="I26" s="16">
        <v>30</v>
      </c>
      <c r="J26" s="28"/>
      <c r="K26" s="23"/>
      <c r="L26" s="23"/>
    </row>
    <row r="27" spans="1:12" ht="22.5" customHeight="1">
      <c r="A27" s="21"/>
      <c r="B27" s="16" t="s">
        <v>281</v>
      </c>
      <c r="C27" s="16" t="s">
        <v>137</v>
      </c>
      <c r="D27" s="16" t="s">
        <v>336</v>
      </c>
      <c r="E27" s="16" t="s">
        <v>213</v>
      </c>
      <c r="F27" s="16" t="s">
        <v>314</v>
      </c>
      <c r="G27" s="16" t="s">
        <v>91</v>
      </c>
      <c r="H27" s="16" t="s">
        <v>337</v>
      </c>
      <c r="I27" s="16">
        <v>30</v>
      </c>
      <c r="J27" s="28"/>
      <c r="K27" s="23"/>
      <c r="L27" s="23"/>
    </row>
    <row r="28" spans="1:12" ht="22.5" customHeight="1">
      <c r="A28" s="21"/>
      <c r="B28" s="16" t="s">
        <v>281</v>
      </c>
      <c r="C28" s="16" t="s">
        <v>137</v>
      </c>
      <c r="D28" s="16" t="s">
        <v>336</v>
      </c>
      <c r="E28" s="16" t="s">
        <v>213</v>
      </c>
      <c r="F28" s="16" t="s">
        <v>314</v>
      </c>
      <c r="G28" s="16" t="s">
        <v>91</v>
      </c>
      <c r="H28" s="16" t="s">
        <v>338</v>
      </c>
      <c r="I28" s="16">
        <v>30</v>
      </c>
      <c r="J28" s="28"/>
      <c r="K28" s="23"/>
      <c r="L28" s="23"/>
    </row>
    <row r="29" spans="1:12" ht="22.5" customHeight="1">
      <c r="A29" s="21"/>
      <c r="B29" s="16" t="s">
        <v>281</v>
      </c>
      <c r="C29" s="16" t="s">
        <v>137</v>
      </c>
      <c r="D29" s="16" t="s">
        <v>339</v>
      </c>
      <c r="E29" s="16" t="s">
        <v>213</v>
      </c>
      <c r="F29" s="16" t="s">
        <v>319</v>
      </c>
      <c r="G29" s="16" t="s">
        <v>91</v>
      </c>
      <c r="H29" s="16" t="s">
        <v>340</v>
      </c>
      <c r="I29" s="16">
        <v>30</v>
      </c>
      <c r="J29" s="28"/>
      <c r="K29" s="23"/>
      <c r="L29" s="23"/>
    </row>
    <row r="30" spans="1:12" ht="22.5" customHeight="1">
      <c r="A30" s="21"/>
      <c r="B30" s="16" t="s">
        <v>281</v>
      </c>
      <c r="C30" s="16" t="s">
        <v>137</v>
      </c>
      <c r="D30" s="16" t="s">
        <v>336</v>
      </c>
      <c r="E30" s="16" t="s">
        <v>213</v>
      </c>
      <c r="F30" s="16" t="s">
        <v>314</v>
      </c>
      <c r="G30" s="16" t="s">
        <v>91</v>
      </c>
      <c r="H30" s="16" t="s">
        <v>341</v>
      </c>
      <c r="I30" s="16">
        <v>30</v>
      </c>
      <c r="J30" s="28"/>
      <c r="K30" s="23"/>
      <c r="L30" s="23"/>
    </row>
    <row r="31" spans="1:12" ht="22.5" customHeight="1">
      <c r="A31" s="21"/>
      <c r="B31" s="16" t="s">
        <v>281</v>
      </c>
      <c r="C31" s="16" t="s">
        <v>137</v>
      </c>
      <c r="D31" s="16" t="s">
        <v>342</v>
      </c>
      <c r="E31" s="16" t="s">
        <v>213</v>
      </c>
      <c r="F31" s="16" t="s">
        <v>343</v>
      </c>
      <c r="G31" s="16" t="s">
        <v>221</v>
      </c>
      <c r="H31" s="16" t="s">
        <v>344</v>
      </c>
      <c r="I31" s="16">
        <v>30</v>
      </c>
      <c r="J31" s="28"/>
      <c r="K31" s="23"/>
      <c r="L31" s="23"/>
    </row>
    <row r="32" spans="1:12" ht="22.5" customHeight="1">
      <c r="A32" s="21"/>
      <c r="B32" s="16" t="s">
        <v>281</v>
      </c>
      <c r="C32" s="16" t="s">
        <v>137</v>
      </c>
      <c r="D32" s="16" t="s">
        <v>342</v>
      </c>
      <c r="E32" s="16" t="s">
        <v>213</v>
      </c>
      <c r="F32" s="16" t="s">
        <v>343</v>
      </c>
      <c r="G32" s="16" t="s">
        <v>71</v>
      </c>
      <c r="H32" s="16" t="s">
        <v>345</v>
      </c>
      <c r="I32" s="16">
        <v>30</v>
      </c>
      <c r="J32" s="28"/>
      <c r="K32" s="23"/>
      <c r="L32" s="23"/>
    </row>
    <row r="33" spans="1:12" ht="22.5" customHeight="1">
      <c r="A33" s="21"/>
      <c r="B33" s="16" t="s">
        <v>281</v>
      </c>
      <c r="C33" s="16" t="s">
        <v>137</v>
      </c>
      <c r="D33" s="16" t="s">
        <v>336</v>
      </c>
      <c r="E33" s="16" t="s">
        <v>213</v>
      </c>
      <c r="F33" s="16" t="s">
        <v>314</v>
      </c>
      <c r="G33" s="16" t="s">
        <v>91</v>
      </c>
      <c r="H33" s="16" t="s">
        <v>346</v>
      </c>
      <c r="I33" s="16">
        <v>30</v>
      </c>
      <c r="J33" s="28"/>
      <c r="K33" s="23"/>
      <c r="L33" s="23"/>
    </row>
    <row r="34" spans="1:12" ht="22.5" customHeight="1">
      <c r="A34" s="21"/>
      <c r="B34" s="16" t="s">
        <v>281</v>
      </c>
      <c r="C34" s="16" t="s">
        <v>137</v>
      </c>
      <c r="D34" s="16" t="s">
        <v>302</v>
      </c>
      <c r="E34" s="16" t="s">
        <v>213</v>
      </c>
      <c r="F34" s="16" t="s">
        <v>314</v>
      </c>
      <c r="G34" s="16" t="s">
        <v>110</v>
      </c>
      <c r="H34" s="16" t="s">
        <v>347</v>
      </c>
      <c r="I34" s="16">
        <v>30</v>
      </c>
      <c r="J34" s="28"/>
      <c r="K34" s="23"/>
      <c r="L34" s="23"/>
    </row>
    <row r="35" spans="1:12" ht="22.5" customHeight="1">
      <c r="A35" s="21"/>
      <c r="B35" s="16" t="s">
        <v>281</v>
      </c>
      <c r="C35" s="16" t="s">
        <v>137</v>
      </c>
      <c r="D35" s="16" t="s">
        <v>348</v>
      </c>
      <c r="E35" s="16" t="s">
        <v>213</v>
      </c>
      <c r="F35" s="16" t="s">
        <v>319</v>
      </c>
      <c r="G35" s="16" t="s">
        <v>349</v>
      </c>
      <c r="H35" s="16" t="s">
        <v>350</v>
      </c>
      <c r="I35" s="16">
        <v>30</v>
      </c>
      <c r="J35" s="28"/>
      <c r="K35" s="23"/>
      <c r="L35" s="23"/>
    </row>
    <row r="36" spans="1:12" ht="22.5" customHeight="1">
      <c r="A36" s="21"/>
      <c r="B36" s="16" t="s">
        <v>281</v>
      </c>
      <c r="C36" s="16" t="s">
        <v>137</v>
      </c>
      <c r="D36" s="16" t="s">
        <v>302</v>
      </c>
      <c r="E36" s="16" t="s">
        <v>213</v>
      </c>
      <c r="F36" s="16" t="s">
        <v>314</v>
      </c>
      <c r="G36" s="16" t="s">
        <v>86</v>
      </c>
      <c r="H36" s="16" t="s">
        <v>351</v>
      </c>
      <c r="I36" s="16">
        <v>30</v>
      </c>
      <c r="J36" s="28"/>
      <c r="K36" s="23"/>
      <c r="L36" s="23"/>
    </row>
    <row r="37" spans="1:12" ht="22.5" customHeight="1">
      <c r="A37" s="21"/>
      <c r="B37" s="16" t="s">
        <v>281</v>
      </c>
      <c r="C37" s="16" t="s">
        <v>137</v>
      </c>
      <c r="D37" s="16" t="s">
        <v>302</v>
      </c>
      <c r="E37" s="16" t="s">
        <v>213</v>
      </c>
      <c r="F37" s="16" t="s">
        <v>314</v>
      </c>
      <c r="G37" s="16" t="s">
        <v>331</v>
      </c>
      <c r="H37" s="16" t="s">
        <v>352</v>
      </c>
      <c r="I37" s="16">
        <v>30</v>
      </c>
      <c r="J37" s="28"/>
      <c r="K37" s="23"/>
      <c r="L37" s="23"/>
    </row>
    <row r="38" spans="1:12" ht="22.5" customHeight="1">
      <c r="A38" s="21"/>
      <c r="B38" s="16" t="s">
        <v>281</v>
      </c>
      <c r="C38" s="16" t="s">
        <v>137</v>
      </c>
      <c r="D38" s="16" t="s">
        <v>342</v>
      </c>
      <c r="E38" s="16" t="s">
        <v>213</v>
      </c>
      <c r="F38" s="16" t="s">
        <v>343</v>
      </c>
      <c r="G38" s="16" t="s">
        <v>71</v>
      </c>
      <c r="H38" s="16" t="s">
        <v>353</v>
      </c>
      <c r="I38" s="16">
        <v>30</v>
      </c>
      <c r="J38" s="28"/>
      <c r="K38" s="23"/>
      <c r="L38" s="23"/>
    </row>
    <row r="39" spans="1:12" ht="22.5" customHeight="1">
      <c r="A39" s="21"/>
      <c r="B39" s="16" t="s">
        <v>281</v>
      </c>
      <c r="C39" s="16" t="s">
        <v>137</v>
      </c>
      <c r="D39" s="16" t="s">
        <v>302</v>
      </c>
      <c r="E39" s="16" t="s">
        <v>213</v>
      </c>
      <c r="F39" s="16" t="s">
        <v>314</v>
      </c>
      <c r="G39" s="16" t="s">
        <v>331</v>
      </c>
      <c r="H39" s="16" t="s">
        <v>354</v>
      </c>
      <c r="I39" s="16">
        <v>30</v>
      </c>
      <c r="J39" s="28"/>
      <c r="K39" s="23"/>
      <c r="L39" s="23"/>
    </row>
    <row r="40" spans="1:12" ht="22.5" customHeight="1">
      <c r="A40" s="21"/>
      <c r="B40" s="16" t="s">
        <v>281</v>
      </c>
      <c r="C40" s="16" t="s">
        <v>137</v>
      </c>
      <c r="D40" s="16" t="s">
        <v>302</v>
      </c>
      <c r="E40" s="16" t="s">
        <v>213</v>
      </c>
      <c r="F40" s="16" t="s">
        <v>314</v>
      </c>
      <c r="G40" s="16" t="s">
        <v>331</v>
      </c>
      <c r="H40" s="16" t="s">
        <v>355</v>
      </c>
      <c r="I40" s="16">
        <v>30</v>
      </c>
      <c r="J40" s="28"/>
      <c r="K40" s="23"/>
      <c r="L40" s="23"/>
    </row>
    <row r="41" spans="1:12" ht="22.5" customHeight="1">
      <c r="A41" s="21"/>
      <c r="B41" s="16" t="s">
        <v>281</v>
      </c>
      <c r="C41" s="16" t="s">
        <v>137</v>
      </c>
      <c r="D41" s="16" t="s">
        <v>302</v>
      </c>
      <c r="E41" s="16" t="s">
        <v>213</v>
      </c>
      <c r="F41" s="16" t="s">
        <v>314</v>
      </c>
      <c r="G41" s="16" t="s">
        <v>356</v>
      </c>
      <c r="H41" s="16" t="s">
        <v>357</v>
      </c>
      <c r="I41" s="16">
        <v>30</v>
      </c>
      <c r="J41" s="28"/>
      <c r="K41" s="23"/>
      <c r="L41" s="23"/>
    </row>
    <row r="42" spans="1:12" ht="22.5" customHeight="1">
      <c r="A42" s="21"/>
      <c r="B42" s="16" t="s">
        <v>281</v>
      </c>
      <c r="C42" s="16" t="s">
        <v>137</v>
      </c>
      <c r="D42" s="16" t="s">
        <v>348</v>
      </c>
      <c r="E42" s="16" t="s">
        <v>213</v>
      </c>
      <c r="F42" s="16" t="s">
        <v>319</v>
      </c>
      <c r="G42" s="16" t="s">
        <v>91</v>
      </c>
      <c r="H42" s="16" t="s">
        <v>358</v>
      </c>
      <c r="I42" s="16">
        <v>30</v>
      </c>
      <c r="J42" s="28"/>
      <c r="K42" s="23"/>
      <c r="L42" s="23"/>
    </row>
    <row r="43" spans="1:12" ht="22.5" customHeight="1">
      <c r="A43" s="21"/>
      <c r="B43" s="16" t="s">
        <v>281</v>
      </c>
      <c r="C43" s="16" t="s">
        <v>137</v>
      </c>
      <c r="D43" s="16" t="s">
        <v>302</v>
      </c>
      <c r="E43" s="16" t="s">
        <v>213</v>
      </c>
      <c r="F43" s="16" t="s">
        <v>314</v>
      </c>
      <c r="G43" s="16" t="s">
        <v>331</v>
      </c>
      <c r="H43" s="16" t="s">
        <v>359</v>
      </c>
      <c r="I43" s="16">
        <v>30</v>
      </c>
      <c r="J43" s="28"/>
      <c r="K43" s="23"/>
      <c r="L43" s="23"/>
    </row>
    <row r="44" spans="1:12" ht="22.5" customHeight="1">
      <c r="A44" s="21"/>
      <c r="B44" s="16" t="s">
        <v>281</v>
      </c>
      <c r="C44" s="16" t="s">
        <v>137</v>
      </c>
      <c r="D44" s="16" t="s">
        <v>302</v>
      </c>
      <c r="E44" s="16" t="s">
        <v>213</v>
      </c>
      <c r="F44" s="16" t="s">
        <v>314</v>
      </c>
      <c r="G44" s="16" t="s">
        <v>331</v>
      </c>
      <c r="H44" s="16" t="s">
        <v>360</v>
      </c>
      <c r="I44" s="16">
        <v>30</v>
      </c>
      <c r="J44" s="28"/>
      <c r="K44" s="23"/>
      <c r="L44" s="23"/>
    </row>
    <row r="45" spans="1:12" ht="22.5" customHeight="1">
      <c r="A45" s="21"/>
      <c r="B45" s="16" t="s">
        <v>281</v>
      </c>
      <c r="C45" s="16" t="s">
        <v>137</v>
      </c>
      <c r="D45" s="16" t="s">
        <v>302</v>
      </c>
      <c r="E45" s="16" t="s">
        <v>213</v>
      </c>
      <c r="F45" s="16" t="s">
        <v>314</v>
      </c>
      <c r="G45" s="16" t="s">
        <v>361</v>
      </c>
      <c r="H45" s="16" t="s">
        <v>362</v>
      </c>
      <c r="I45" s="16">
        <v>30</v>
      </c>
      <c r="J45" s="28"/>
      <c r="K45" s="23"/>
      <c r="L45" s="23"/>
    </row>
    <row r="46" spans="1:12" ht="22.5" customHeight="1">
      <c r="A46" s="21"/>
      <c r="B46" s="16" t="s">
        <v>281</v>
      </c>
      <c r="C46" s="16" t="s">
        <v>137</v>
      </c>
      <c r="D46" s="16" t="s">
        <v>348</v>
      </c>
      <c r="E46" s="16" t="s">
        <v>213</v>
      </c>
      <c r="F46" s="16" t="s">
        <v>319</v>
      </c>
      <c r="G46" s="16" t="s">
        <v>147</v>
      </c>
      <c r="H46" s="16" t="s">
        <v>363</v>
      </c>
      <c r="I46" s="16">
        <v>30</v>
      </c>
      <c r="J46" s="28"/>
      <c r="K46" s="23"/>
      <c r="L46" s="23"/>
    </row>
    <row r="47" spans="1:12" ht="22.5" customHeight="1">
      <c r="A47" s="21"/>
      <c r="B47" s="16" t="s">
        <v>281</v>
      </c>
      <c r="C47" s="16" t="s">
        <v>137</v>
      </c>
      <c r="D47" s="16" t="s">
        <v>313</v>
      </c>
      <c r="E47" s="16" t="s">
        <v>213</v>
      </c>
      <c r="F47" s="16" t="s">
        <v>314</v>
      </c>
      <c r="G47" s="16" t="s">
        <v>152</v>
      </c>
      <c r="H47" s="16" t="s">
        <v>364</v>
      </c>
      <c r="I47" s="16">
        <v>30</v>
      </c>
      <c r="J47" s="28"/>
      <c r="K47" s="23"/>
      <c r="L47" s="23"/>
    </row>
    <row r="48" spans="1:12" ht="22.5" customHeight="1">
      <c r="A48" s="21"/>
      <c r="B48" s="16" t="s">
        <v>281</v>
      </c>
      <c r="C48" s="16" t="s">
        <v>137</v>
      </c>
      <c r="D48" s="16" t="s">
        <v>333</v>
      </c>
      <c r="E48" s="16" t="s">
        <v>213</v>
      </c>
      <c r="F48" s="16" t="s">
        <v>314</v>
      </c>
      <c r="G48" s="16" t="s">
        <v>152</v>
      </c>
      <c r="H48" s="16" t="s">
        <v>365</v>
      </c>
      <c r="I48" s="16">
        <v>30</v>
      </c>
      <c r="J48" s="28"/>
      <c r="K48" s="23"/>
      <c r="L48" s="23"/>
    </row>
    <row r="49" spans="1:12" ht="22.5" customHeight="1">
      <c r="A49" s="21"/>
      <c r="B49" s="16" t="s">
        <v>281</v>
      </c>
      <c r="C49" s="16" t="s">
        <v>137</v>
      </c>
      <c r="D49" s="16" t="s">
        <v>313</v>
      </c>
      <c r="E49" s="16" t="s">
        <v>213</v>
      </c>
      <c r="F49" s="16" t="s">
        <v>314</v>
      </c>
      <c r="G49" s="16" t="s">
        <v>152</v>
      </c>
      <c r="H49" s="16" t="s">
        <v>366</v>
      </c>
      <c r="I49" s="16">
        <v>30</v>
      </c>
      <c r="J49" s="28"/>
      <c r="K49" s="23"/>
      <c r="L49" s="23"/>
    </row>
    <row r="50" spans="1:12" ht="22.5" customHeight="1">
      <c r="A50" s="21"/>
      <c r="B50" s="16" t="s">
        <v>281</v>
      </c>
      <c r="C50" s="16" t="s">
        <v>137</v>
      </c>
      <c r="D50" s="16" t="s">
        <v>367</v>
      </c>
      <c r="E50" s="16" t="s">
        <v>213</v>
      </c>
      <c r="F50" s="16" t="s">
        <v>314</v>
      </c>
      <c r="G50" s="16" t="s">
        <v>152</v>
      </c>
      <c r="H50" s="16" t="s">
        <v>368</v>
      </c>
      <c r="I50" s="16">
        <v>30</v>
      </c>
      <c r="J50" s="28"/>
      <c r="K50" s="23"/>
      <c r="L50" s="23"/>
    </row>
    <row r="51" spans="1:12" ht="22.5" customHeight="1">
      <c r="A51" s="21"/>
      <c r="B51" s="16" t="s">
        <v>281</v>
      </c>
      <c r="C51" s="16" t="s">
        <v>137</v>
      </c>
      <c r="D51" s="16" t="s">
        <v>333</v>
      </c>
      <c r="E51" s="16" t="s">
        <v>213</v>
      </c>
      <c r="F51" s="16" t="s">
        <v>314</v>
      </c>
      <c r="G51" s="16" t="s">
        <v>152</v>
      </c>
      <c r="H51" s="16" t="s">
        <v>369</v>
      </c>
      <c r="I51" s="16">
        <v>30</v>
      </c>
      <c r="J51" s="28"/>
      <c r="K51" s="23"/>
      <c r="L51" s="23"/>
    </row>
    <row r="52" spans="1:12" ht="22.5" customHeight="1">
      <c r="A52" s="21"/>
      <c r="B52" s="16" t="s">
        <v>281</v>
      </c>
      <c r="C52" s="16" t="s">
        <v>137</v>
      </c>
      <c r="D52" s="16" t="s">
        <v>370</v>
      </c>
      <c r="E52" s="16" t="s">
        <v>213</v>
      </c>
      <c r="F52" s="16" t="s">
        <v>319</v>
      </c>
      <c r="G52" s="16" t="s">
        <v>91</v>
      </c>
      <c r="H52" s="16" t="s">
        <v>371</v>
      </c>
      <c r="I52" s="16">
        <v>30</v>
      </c>
      <c r="J52" s="28"/>
      <c r="K52" s="23"/>
      <c r="L52" s="23"/>
    </row>
    <row r="53" spans="1:12" ht="22.5" customHeight="1">
      <c r="A53" s="21"/>
      <c r="B53" s="16" t="s">
        <v>281</v>
      </c>
      <c r="C53" s="16" t="s">
        <v>137</v>
      </c>
      <c r="D53" s="16"/>
      <c r="E53" s="16" t="s">
        <v>213</v>
      </c>
      <c r="F53" s="16" t="s">
        <v>319</v>
      </c>
      <c r="G53" s="16" t="s">
        <v>91</v>
      </c>
      <c r="H53" s="16" t="s">
        <v>372</v>
      </c>
      <c r="I53" s="16">
        <v>30</v>
      </c>
      <c r="J53" s="28"/>
      <c r="K53" s="23"/>
      <c r="L53" s="23"/>
    </row>
    <row r="54" spans="1:12" ht="22.5" customHeight="1">
      <c r="A54" s="21"/>
      <c r="B54" s="16" t="s">
        <v>281</v>
      </c>
      <c r="C54" s="16" t="s">
        <v>137</v>
      </c>
      <c r="D54" s="16" t="s">
        <v>373</v>
      </c>
      <c r="E54" s="16" t="s">
        <v>213</v>
      </c>
      <c r="F54" s="16" t="s">
        <v>314</v>
      </c>
      <c r="G54" s="16" t="s">
        <v>166</v>
      </c>
      <c r="H54" s="16" t="s">
        <v>374</v>
      </c>
      <c r="I54" s="16">
        <v>30</v>
      </c>
      <c r="J54" s="28"/>
      <c r="K54" s="23"/>
      <c r="L54" s="23"/>
    </row>
    <row r="55" spans="1:12" ht="22.5" customHeight="1">
      <c r="A55" s="21"/>
      <c r="B55" s="16" t="s">
        <v>281</v>
      </c>
      <c r="C55" s="16" t="s">
        <v>137</v>
      </c>
      <c r="D55" s="16"/>
      <c r="E55" s="16" t="s">
        <v>213</v>
      </c>
      <c r="F55" s="16" t="s">
        <v>375</v>
      </c>
      <c r="G55" s="16" t="s">
        <v>91</v>
      </c>
      <c r="H55" s="16" t="s">
        <v>376</v>
      </c>
      <c r="I55" s="16">
        <v>30</v>
      </c>
      <c r="J55" s="28"/>
      <c r="K55" s="23"/>
      <c r="L55" s="23"/>
    </row>
    <row r="56" spans="1:12" ht="22.5" customHeight="1">
      <c r="A56" s="21"/>
      <c r="B56" s="16" t="s">
        <v>281</v>
      </c>
      <c r="C56" s="16" t="s">
        <v>137</v>
      </c>
      <c r="D56" s="16" t="s">
        <v>377</v>
      </c>
      <c r="E56" s="16" t="s">
        <v>213</v>
      </c>
      <c r="F56" s="16" t="s">
        <v>319</v>
      </c>
      <c r="G56" s="16" t="s">
        <v>71</v>
      </c>
      <c r="H56" s="16" t="s">
        <v>378</v>
      </c>
      <c r="I56" s="16">
        <v>30</v>
      </c>
      <c r="J56" s="28"/>
      <c r="K56" s="23"/>
      <c r="L56" s="23"/>
    </row>
    <row r="57" spans="1:12" ht="22.5" customHeight="1">
      <c r="A57" s="21"/>
      <c r="B57" s="16" t="s">
        <v>281</v>
      </c>
      <c r="C57" s="16" t="s">
        <v>43</v>
      </c>
      <c r="D57" s="16" t="s">
        <v>379</v>
      </c>
      <c r="E57" s="16" t="s">
        <v>380</v>
      </c>
      <c r="F57" s="16" t="s">
        <v>314</v>
      </c>
      <c r="G57" s="16" t="s">
        <v>381</v>
      </c>
      <c r="H57" s="16" t="s">
        <v>382</v>
      </c>
      <c r="I57" s="16">
        <v>30</v>
      </c>
      <c r="J57" s="28"/>
      <c r="K57" s="23"/>
      <c r="L57" s="23"/>
    </row>
    <row r="58" spans="1:12" ht="22.5" customHeight="1">
      <c r="A58" s="21"/>
      <c r="B58" s="16" t="s">
        <v>281</v>
      </c>
      <c r="C58" s="16" t="s">
        <v>43</v>
      </c>
      <c r="D58" s="16" t="s">
        <v>379</v>
      </c>
      <c r="E58" s="16" t="s">
        <v>380</v>
      </c>
      <c r="F58" s="16" t="s">
        <v>314</v>
      </c>
      <c r="G58" s="16" t="s">
        <v>381</v>
      </c>
      <c r="H58" s="16" t="s">
        <v>383</v>
      </c>
      <c r="I58" s="16">
        <v>30</v>
      </c>
      <c r="J58" s="28"/>
      <c r="K58" s="23"/>
      <c r="L58" s="23"/>
    </row>
    <row r="59" spans="1:12" ht="22.5" customHeight="1">
      <c r="A59" s="21"/>
      <c r="B59" s="16" t="s">
        <v>281</v>
      </c>
      <c r="C59" s="16" t="s">
        <v>43</v>
      </c>
      <c r="D59" s="16" t="s">
        <v>379</v>
      </c>
      <c r="E59" s="16" t="s">
        <v>380</v>
      </c>
      <c r="F59" s="16" t="s">
        <v>314</v>
      </c>
      <c r="G59" s="16" t="s">
        <v>381</v>
      </c>
      <c r="H59" s="16" t="s">
        <v>384</v>
      </c>
      <c r="I59" s="16">
        <v>30</v>
      </c>
      <c r="J59" s="28"/>
      <c r="K59" s="23"/>
      <c r="L59" s="23"/>
    </row>
    <row r="60" spans="1:12" ht="22.5" customHeight="1">
      <c r="A60" s="21"/>
      <c r="B60" s="16" t="s">
        <v>281</v>
      </c>
      <c r="C60" s="16" t="s">
        <v>43</v>
      </c>
      <c r="D60" s="16" t="s">
        <v>379</v>
      </c>
      <c r="E60" s="16" t="s">
        <v>380</v>
      </c>
      <c r="F60" s="16" t="s">
        <v>314</v>
      </c>
      <c r="G60" s="16" t="s">
        <v>381</v>
      </c>
      <c r="H60" s="16" t="s">
        <v>385</v>
      </c>
      <c r="I60" s="16">
        <v>30</v>
      </c>
      <c r="J60" s="28"/>
      <c r="K60" s="23"/>
      <c r="L60" s="23"/>
    </row>
    <row r="61" spans="1:12" ht="22.5" customHeight="1">
      <c r="A61" s="21"/>
      <c r="B61" s="16" t="s">
        <v>281</v>
      </c>
      <c r="C61" s="16" t="s">
        <v>43</v>
      </c>
      <c r="D61" s="16" t="s">
        <v>379</v>
      </c>
      <c r="E61" s="16" t="s">
        <v>380</v>
      </c>
      <c r="F61" s="16" t="s">
        <v>314</v>
      </c>
      <c r="G61" s="16" t="s">
        <v>381</v>
      </c>
      <c r="H61" s="16" t="s">
        <v>386</v>
      </c>
      <c r="I61" s="16">
        <v>30</v>
      </c>
      <c r="J61" s="28"/>
      <c r="K61" s="23"/>
      <c r="L61" s="23"/>
    </row>
    <row r="62" spans="1:12" ht="22.5" customHeight="1">
      <c r="A62" s="21"/>
      <c r="B62" s="16" t="s">
        <v>281</v>
      </c>
      <c r="C62" s="16" t="s">
        <v>43</v>
      </c>
      <c r="D62" s="16" t="s">
        <v>379</v>
      </c>
      <c r="E62" s="16" t="s">
        <v>380</v>
      </c>
      <c r="F62" s="16" t="s">
        <v>314</v>
      </c>
      <c r="G62" s="16" t="s">
        <v>381</v>
      </c>
      <c r="H62" s="16" t="s">
        <v>387</v>
      </c>
      <c r="I62" s="16">
        <v>30</v>
      </c>
      <c r="J62" s="28"/>
      <c r="K62" s="23"/>
      <c r="L62" s="23"/>
    </row>
    <row r="63" spans="1:12" ht="22.5" customHeight="1">
      <c r="A63" s="21"/>
      <c r="B63" s="16" t="s">
        <v>281</v>
      </c>
      <c r="C63" s="16" t="s">
        <v>43</v>
      </c>
      <c r="D63" s="16" t="s">
        <v>379</v>
      </c>
      <c r="E63" s="16" t="s">
        <v>380</v>
      </c>
      <c r="F63" s="16" t="s">
        <v>314</v>
      </c>
      <c r="G63" s="16" t="s">
        <v>381</v>
      </c>
      <c r="H63" s="16" t="s">
        <v>388</v>
      </c>
      <c r="I63" s="16">
        <v>30</v>
      </c>
      <c r="J63" s="28"/>
      <c r="K63" s="23"/>
      <c r="L63" s="23"/>
    </row>
    <row r="64" spans="1:12" ht="22.5" customHeight="1">
      <c r="A64" s="21"/>
      <c r="B64" s="16" t="s">
        <v>281</v>
      </c>
      <c r="C64" s="16" t="s">
        <v>43</v>
      </c>
      <c r="D64" s="16" t="s">
        <v>379</v>
      </c>
      <c r="E64" s="16" t="s">
        <v>380</v>
      </c>
      <c r="F64" s="16" t="s">
        <v>314</v>
      </c>
      <c r="G64" s="16" t="s">
        <v>381</v>
      </c>
      <c r="H64" s="16" t="s">
        <v>389</v>
      </c>
      <c r="I64" s="16">
        <v>30</v>
      </c>
      <c r="J64" s="28"/>
      <c r="K64" s="23"/>
      <c r="L64" s="23"/>
    </row>
    <row r="65" spans="1:12" ht="22.5" customHeight="1">
      <c r="A65" s="21"/>
      <c r="B65" s="16" t="s">
        <v>281</v>
      </c>
      <c r="C65" s="16" t="s">
        <v>43</v>
      </c>
      <c r="D65" s="16" t="s">
        <v>379</v>
      </c>
      <c r="E65" s="16" t="s">
        <v>380</v>
      </c>
      <c r="F65" s="16" t="s">
        <v>314</v>
      </c>
      <c r="G65" s="16" t="s">
        <v>381</v>
      </c>
      <c r="H65" s="16" t="s">
        <v>390</v>
      </c>
      <c r="I65" s="16">
        <v>30</v>
      </c>
      <c r="J65" s="28"/>
      <c r="K65" s="23"/>
      <c r="L65" s="23"/>
    </row>
    <row r="66" spans="1:12" ht="22.5" customHeight="1">
      <c r="A66" s="21"/>
      <c r="B66" s="16" t="s">
        <v>281</v>
      </c>
      <c r="C66" s="16" t="s">
        <v>43</v>
      </c>
      <c r="D66" s="16" t="s">
        <v>379</v>
      </c>
      <c r="E66" s="16" t="s">
        <v>380</v>
      </c>
      <c r="F66" s="16" t="s">
        <v>314</v>
      </c>
      <c r="G66" s="16" t="s">
        <v>381</v>
      </c>
      <c r="H66" s="16" t="s">
        <v>391</v>
      </c>
      <c r="I66" s="16">
        <v>30</v>
      </c>
      <c r="J66" s="28"/>
      <c r="K66" s="23"/>
      <c r="L66" s="23"/>
    </row>
    <row r="67" spans="1:12" ht="22.5" customHeight="1">
      <c r="A67" s="21"/>
      <c r="B67" s="16" t="s">
        <v>281</v>
      </c>
      <c r="C67" s="16" t="s">
        <v>43</v>
      </c>
      <c r="D67" s="16" t="s">
        <v>379</v>
      </c>
      <c r="E67" s="16" t="s">
        <v>380</v>
      </c>
      <c r="F67" s="16" t="s">
        <v>314</v>
      </c>
      <c r="G67" s="16" t="s">
        <v>381</v>
      </c>
      <c r="H67" s="16" t="s">
        <v>392</v>
      </c>
      <c r="I67" s="16">
        <v>30</v>
      </c>
      <c r="J67" s="28"/>
      <c r="K67" s="23"/>
      <c r="L67" s="23"/>
    </row>
    <row r="68" spans="1:12" ht="22.5" customHeight="1">
      <c r="A68" s="21"/>
      <c r="B68" s="16" t="s">
        <v>281</v>
      </c>
      <c r="C68" s="16" t="s">
        <v>43</v>
      </c>
      <c r="D68" s="16" t="s">
        <v>379</v>
      </c>
      <c r="E68" s="16" t="s">
        <v>380</v>
      </c>
      <c r="F68" s="16" t="s">
        <v>314</v>
      </c>
      <c r="G68" s="16" t="s">
        <v>381</v>
      </c>
      <c r="H68" s="16" t="s">
        <v>393</v>
      </c>
      <c r="I68" s="16">
        <v>30</v>
      </c>
      <c r="J68" s="28"/>
      <c r="K68" s="23"/>
      <c r="L68" s="23"/>
    </row>
    <row r="69" spans="1:12" ht="22.5" customHeight="1">
      <c r="A69" s="21"/>
      <c r="B69" s="16" t="s">
        <v>281</v>
      </c>
      <c r="C69" s="16" t="s">
        <v>43</v>
      </c>
      <c r="D69" s="16" t="s">
        <v>379</v>
      </c>
      <c r="E69" s="16" t="s">
        <v>380</v>
      </c>
      <c r="F69" s="16" t="s">
        <v>314</v>
      </c>
      <c r="G69" s="16" t="s">
        <v>381</v>
      </c>
      <c r="H69" s="16" t="s">
        <v>394</v>
      </c>
      <c r="I69" s="16">
        <v>30</v>
      </c>
      <c r="J69" s="28"/>
      <c r="K69" s="23"/>
      <c r="L69" s="23"/>
    </row>
    <row r="70" spans="1:12" ht="22.5" customHeight="1">
      <c r="A70" s="21"/>
      <c r="B70" s="16" t="s">
        <v>281</v>
      </c>
      <c r="C70" s="16" t="s">
        <v>43</v>
      </c>
      <c r="D70" s="16" t="s">
        <v>379</v>
      </c>
      <c r="E70" s="16" t="s">
        <v>380</v>
      </c>
      <c r="F70" s="16" t="s">
        <v>314</v>
      </c>
      <c r="G70" s="16" t="s">
        <v>381</v>
      </c>
      <c r="H70" s="16" t="s">
        <v>395</v>
      </c>
      <c r="I70" s="16">
        <v>30</v>
      </c>
      <c r="J70" s="28"/>
      <c r="K70" s="23"/>
      <c r="L70" s="23"/>
    </row>
    <row r="71" spans="1:12" ht="22.5" customHeight="1">
      <c r="A71" s="21"/>
      <c r="B71" s="16" t="s">
        <v>281</v>
      </c>
      <c r="C71" s="16" t="s">
        <v>43</v>
      </c>
      <c r="D71" s="16" t="s">
        <v>379</v>
      </c>
      <c r="E71" s="16" t="s">
        <v>380</v>
      </c>
      <c r="F71" s="16" t="s">
        <v>314</v>
      </c>
      <c r="G71" s="16" t="s">
        <v>381</v>
      </c>
      <c r="H71" s="16" t="s">
        <v>396</v>
      </c>
      <c r="I71" s="16">
        <v>30</v>
      </c>
      <c r="J71" s="28"/>
      <c r="K71" s="23"/>
      <c r="L71" s="23"/>
    </row>
    <row r="72" spans="1:12" ht="22.5" customHeight="1">
      <c r="A72" s="21"/>
      <c r="B72" s="16" t="s">
        <v>281</v>
      </c>
      <c r="C72" s="16" t="s">
        <v>43</v>
      </c>
      <c r="D72" s="16" t="s">
        <v>379</v>
      </c>
      <c r="E72" s="16" t="s">
        <v>380</v>
      </c>
      <c r="F72" s="16" t="s">
        <v>314</v>
      </c>
      <c r="G72" s="16" t="s">
        <v>381</v>
      </c>
      <c r="H72" s="16" t="s">
        <v>397</v>
      </c>
      <c r="I72" s="16">
        <v>30</v>
      </c>
      <c r="J72" s="28"/>
      <c r="K72" s="23"/>
      <c r="L72" s="23"/>
    </row>
    <row r="73" spans="1:12" ht="22.5" customHeight="1">
      <c r="A73" s="21"/>
      <c r="B73" s="16" t="s">
        <v>281</v>
      </c>
      <c r="C73" s="16" t="s">
        <v>43</v>
      </c>
      <c r="D73" s="16" t="s">
        <v>379</v>
      </c>
      <c r="E73" s="16" t="s">
        <v>380</v>
      </c>
      <c r="F73" s="16" t="s">
        <v>314</v>
      </c>
      <c r="G73" s="16" t="s">
        <v>381</v>
      </c>
      <c r="H73" s="16" t="s">
        <v>398</v>
      </c>
      <c r="I73" s="16">
        <v>30</v>
      </c>
      <c r="J73" s="28"/>
      <c r="K73" s="23"/>
      <c r="L73" s="23"/>
    </row>
    <row r="74" spans="1:12" ht="22.5" customHeight="1">
      <c r="A74" s="21"/>
      <c r="B74" s="16" t="s">
        <v>281</v>
      </c>
      <c r="C74" s="16" t="s">
        <v>43</v>
      </c>
      <c r="D74" s="16" t="s">
        <v>379</v>
      </c>
      <c r="E74" s="16" t="s">
        <v>380</v>
      </c>
      <c r="F74" s="16" t="s">
        <v>314</v>
      </c>
      <c r="G74" s="16" t="s">
        <v>381</v>
      </c>
      <c r="H74" s="16" t="s">
        <v>399</v>
      </c>
      <c r="I74" s="16">
        <v>30</v>
      </c>
      <c r="J74" s="28"/>
      <c r="K74" s="23"/>
      <c r="L74" s="23"/>
    </row>
    <row r="75" spans="1:12" ht="22.5" customHeight="1">
      <c r="A75" s="21"/>
      <c r="B75" s="16" t="s">
        <v>281</v>
      </c>
      <c r="C75" s="16" t="s">
        <v>43</v>
      </c>
      <c r="D75" s="16" t="s">
        <v>379</v>
      </c>
      <c r="E75" s="16" t="s">
        <v>380</v>
      </c>
      <c r="F75" s="16" t="s">
        <v>314</v>
      </c>
      <c r="G75" s="16" t="s">
        <v>381</v>
      </c>
      <c r="H75" s="16" t="s">
        <v>400</v>
      </c>
      <c r="I75" s="16">
        <v>30</v>
      </c>
      <c r="J75" s="28"/>
      <c r="K75" s="23"/>
      <c r="L75" s="23"/>
    </row>
    <row r="76" spans="1:12" ht="22.5" customHeight="1">
      <c r="A76" s="21"/>
      <c r="B76" s="16" t="s">
        <v>281</v>
      </c>
      <c r="C76" s="16" t="s">
        <v>43</v>
      </c>
      <c r="D76" s="16" t="s">
        <v>379</v>
      </c>
      <c r="E76" s="16" t="s">
        <v>380</v>
      </c>
      <c r="F76" s="16" t="s">
        <v>314</v>
      </c>
      <c r="G76" s="16" t="s">
        <v>381</v>
      </c>
      <c r="H76" s="16" t="s">
        <v>401</v>
      </c>
      <c r="I76" s="16">
        <v>30</v>
      </c>
      <c r="J76" s="28"/>
      <c r="K76" s="23"/>
      <c r="L76" s="23"/>
    </row>
    <row r="77" spans="1:12" ht="22.5" customHeight="1">
      <c r="A77" s="21"/>
      <c r="B77" s="16" t="s">
        <v>281</v>
      </c>
      <c r="C77" s="16" t="s">
        <v>43</v>
      </c>
      <c r="D77" s="16" t="s">
        <v>379</v>
      </c>
      <c r="E77" s="16" t="s">
        <v>380</v>
      </c>
      <c r="F77" s="16" t="s">
        <v>314</v>
      </c>
      <c r="G77" s="16" t="s">
        <v>381</v>
      </c>
      <c r="H77" s="16" t="s">
        <v>402</v>
      </c>
      <c r="I77" s="16">
        <v>30</v>
      </c>
      <c r="J77" s="28"/>
      <c r="K77" s="23"/>
      <c r="L77" s="23"/>
    </row>
    <row r="78" spans="1:12" ht="13.2">
      <c r="I78" s="17"/>
    </row>
    <row r="79" spans="1:12" ht="13.2">
      <c r="I79" s="17"/>
    </row>
    <row r="80" spans="1:12" ht="13.2">
      <c r="I80" s="17"/>
    </row>
    <row r="81" spans="9:9" ht="13.2">
      <c r="I81" s="17"/>
    </row>
    <row r="82" spans="9:9" ht="13.2">
      <c r="I82" s="17"/>
    </row>
    <row r="83" spans="9:9" ht="13.2">
      <c r="I83" s="17"/>
    </row>
    <row r="84" spans="9:9" ht="13.2">
      <c r="I84" s="17"/>
    </row>
    <row r="85" spans="9:9" ht="13.2">
      <c r="I85" s="17"/>
    </row>
    <row r="86" spans="9:9" ht="13.2">
      <c r="I86" s="17"/>
    </row>
    <row r="87" spans="9:9" ht="13.2">
      <c r="I87" s="17"/>
    </row>
    <row r="88" spans="9:9" ht="13.2">
      <c r="I88" s="17"/>
    </row>
    <row r="89" spans="9:9" ht="13.2">
      <c r="I89" s="17"/>
    </row>
    <row r="90" spans="9:9" ht="13.2">
      <c r="I90" s="17"/>
    </row>
    <row r="91" spans="9:9" ht="13.2">
      <c r="I91" s="17"/>
    </row>
    <row r="92" spans="9:9" ht="13.2">
      <c r="I92" s="17"/>
    </row>
    <row r="93" spans="9:9" ht="13.2">
      <c r="I93" s="17"/>
    </row>
    <row r="94" spans="9:9" ht="13.2">
      <c r="I94" s="17"/>
    </row>
    <row r="95" spans="9:9" ht="13.2">
      <c r="I95" s="17"/>
    </row>
    <row r="96" spans="9:9" ht="13.2">
      <c r="I96" s="17"/>
    </row>
    <row r="97" spans="9:9" ht="13.2">
      <c r="I97" s="17"/>
    </row>
    <row r="98" spans="9:9" ht="13.2">
      <c r="I98" s="17"/>
    </row>
    <row r="99" spans="9:9" ht="13.2">
      <c r="I99" s="17"/>
    </row>
    <row r="100" spans="9:9" ht="13.2">
      <c r="I100" s="17"/>
    </row>
    <row r="101" spans="9:9" ht="13.2">
      <c r="I101" s="17"/>
    </row>
    <row r="102" spans="9:9" ht="13.2">
      <c r="I102" s="17"/>
    </row>
    <row r="103" spans="9:9" ht="13.2">
      <c r="I103" s="17"/>
    </row>
    <row r="104" spans="9:9" ht="13.2">
      <c r="I104" s="17"/>
    </row>
    <row r="105" spans="9:9" ht="13.2">
      <c r="I105" s="17"/>
    </row>
    <row r="106" spans="9:9" ht="13.2">
      <c r="I106" s="17"/>
    </row>
    <row r="107" spans="9:9" ht="13.2">
      <c r="I107" s="17"/>
    </row>
    <row r="108" spans="9:9" ht="13.2">
      <c r="I108" s="17"/>
    </row>
    <row r="109" spans="9:9" ht="13.2">
      <c r="I109" s="17"/>
    </row>
    <row r="110" spans="9:9" ht="13.2">
      <c r="I110" s="17"/>
    </row>
    <row r="111" spans="9:9" ht="13.2">
      <c r="I111" s="17"/>
    </row>
    <row r="112" spans="9:9" ht="13.2">
      <c r="I112" s="17"/>
    </row>
    <row r="113" spans="9:9" ht="13.2">
      <c r="I113" s="17"/>
    </row>
    <row r="114" spans="9:9" ht="13.2">
      <c r="I114" s="17"/>
    </row>
    <row r="115" spans="9:9" ht="13.2">
      <c r="I115" s="17"/>
    </row>
    <row r="116" spans="9:9" ht="13.2">
      <c r="I116" s="17"/>
    </row>
    <row r="117" spans="9:9" ht="13.2">
      <c r="I117" s="17"/>
    </row>
    <row r="118" spans="9:9" ht="13.2">
      <c r="I118" s="17"/>
    </row>
    <row r="119" spans="9:9" ht="13.2">
      <c r="I119" s="17"/>
    </row>
    <row r="120" spans="9:9" ht="13.2">
      <c r="I120" s="17"/>
    </row>
    <row r="121" spans="9:9" ht="13.2">
      <c r="I121" s="17"/>
    </row>
    <row r="122" spans="9:9" ht="13.2">
      <c r="I122" s="17"/>
    </row>
    <row r="123" spans="9:9" ht="13.2">
      <c r="I123" s="17"/>
    </row>
    <row r="124" spans="9:9" ht="13.2">
      <c r="I124" s="17"/>
    </row>
    <row r="125" spans="9:9" ht="13.2">
      <c r="I125" s="17"/>
    </row>
    <row r="126" spans="9:9" ht="13.2">
      <c r="I126" s="17"/>
    </row>
    <row r="127" spans="9:9" ht="13.2">
      <c r="I127" s="17"/>
    </row>
    <row r="128" spans="9:9" ht="13.2">
      <c r="I128" s="17"/>
    </row>
    <row r="129" spans="9:9" ht="13.2">
      <c r="I129" s="17"/>
    </row>
    <row r="130" spans="9:9" ht="13.2">
      <c r="I130" s="17"/>
    </row>
    <row r="131" spans="9:9" ht="13.2">
      <c r="I131" s="17"/>
    </row>
    <row r="132" spans="9:9" ht="13.2">
      <c r="I132" s="17"/>
    </row>
    <row r="133" spans="9:9" ht="13.2">
      <c r="I133" s="17"/>
    </row>
    <row r="134" spans="9:9" ht="13.2">
      <c r="I134" s="17"/>
    </row>
    <row r="135" spans="9:9" ht="13.2">
      <c r="I135" s="17"/>
    </row>
    <row r="136" spans="9:9" ht="13.2">
      <c r="I136" s="17"/>
    </row>
    <row r="137" spans="9:9" ht="13.2">
      <c r="I137" s="17"/>
    </row>
    <row r="138" spans="9:9" ht="13.2">
      <c r="I138" s="17"/>
    </row>
    <row r="139" spans="9:9" ht="13.2">
      <c r="I139" s="17"/>
    </row>
    <row r="140" spans="9:9" ht="13.2">
      <c r="I140" s="17"/>
    </row>
    <row r="141" spans="9:9" ht="13.2">
      <c r="I141" s="17"/>
    </row>
    <row r="142" spans="9:9" ht="13.2">
      <c r="I142" s="17"/>
    </row>
    <row r="143" spans="9:9" ht="13.2">
      <c r="I143" s="17"/>
    </row>
    <row r="144" spans="9:9" ht="13.2">
      <c r="I144" s="17"/>
    </row>
    <row r="145" spans="9:9" ht="13.2">
      <c r="I145" s="17"/>
    </row>
    <row r="146" spans="9:9" ht="13.2">
      <c r="I146" s="17"/>
    </row>
    <row r="147" spans="9:9" ht="13.2">
      <c r="I147" s="17"/>
    </row>
    <row r="148" spans="9:9" ht="13.2">
      <c r="I148" s="17"/>
    </row>
    <row r="149" spans="9:9" ht="13.2">
      <c r="I149" s="17"/>
    </row>
    <row r="150" spans="9:9" ht="13.2">
      <c r="I150" s="17"/>
    </row>
    <row r="151" spans="9:9" ht="13.2">
      <c r="I151" s="17"/>
    </row>
    <row r="152" spans="9:9" ht="13.2">
      <c r="I152" s="17"/>
    </row>
    <row r="153" spans="9:9" ht="13.2">
      <c r="I153" s="17"/>
    </row>
    <row r="154" spans="9:9" ht="13.2">
      <c r="I154" s="17"/>
    </row>
    <row r="155" spans="9:9" ht="13.2">
      <c r="I155" s="17"/>
    </row>
    <row r="156" spans="9:9" ht="13.2">
      <c r="I156" s="17"/>
    </row>
    <row r="157" spans="9:9" ht="13.2">
      <c r="I157" s="17"/>
    </row>
    <row r="158" spans="9:9" ht="13.2">
      <c r="I158" s="17"/>
    </row>
    <row r="159" spans="9:9" ht="13.2">
      <c r="I159" s="17"/>
    </row>
    <row r="160" spans="9:9" ht="13.2">
      <c r="I160" s="17"/>
    </row>
    <row r="161" spans="9:9" ht="13.2">
      <c r="I161" s="17"/>
    </row>
    <row r="162" spans="9:9" ht="13.2">
      <c r="I162" s="17"/>
    </row>
    <row r="163" spans="9:9" ht="13.2">
      <c r="I163" s="17"/>
    </row>
    <row r="164" spans="9:9" ht="13.2">
      <c r="I164" s="17"/>
    </row>
    <row r="165" spans="9:9" ht="13.2">
      <c r="I165" s="17"/>
    </row>
    <row r="166" spans="9:9" ht="13.2">
      <c r="I166" s="17"/>
    </row>
    <row r="167" spans="9:9" ht="13.2">
      <c r="I167" s="17"/>
    </row>
    <row r="168" spans="9:9" ht="13.2">
      <c r="I168" s="17"/>
    </row>
    <row r="169" spans="9:9" ht="13.2">
      <c r="I169" s="17"/>
    </row>
    <row r="170" spans="9:9" ht="13.2">
      <c r="I170" s="17"/>
    </row>
    <row r="171" spans="9:9" ht="13.2">
      <c r="I171" s="17"/>
    </row>
    <row r="172" spans="9:9" ht="13.2">
      <c r="I172" s="17"/>
    </row>
    <row r="173" spans="9:9" ht="13.2">
      <c r="I173" s="17"/>
    </row>
    <row r="174" spans="9:9" ht="13.2">
      <c r="I174" s="17"/>
    </row>
    <row r="175" spans="9:9" ht="13.2">
      <c r="I175" s="17"/>
    </row>
    <row r="176" spans="9:9" ht="13.2">
      <c r="I176" s="17"/>
    </row>
    <row r="177" spans="9:9" ht="13.2">
      <c r="I177" s="17"/>
    </row>
    <row r="178" spans="9:9" ht="13.2">
      <c r="I178" s="17"/>
    </row>
    <row r="179" spans="9:9" ht="13.2">
      <c r="I179" s="17"/>
    </row>
    <row r="180" spans="9:9" ht="13.2">
      <c r="I180" s="17"/>
    </row>
    <row r="181" spans="9:9" ht="13.2">
      <c r="I181" s="17"/>
    </row>
    <row r="182" spans="9:9" ht="13.2">
      <c r="I182" s="17"/>
    </row>
    <row r="183" spans="9:9" ht="13.2">
      <c r="I183" s="17"/>
    </row>
    <row r="184" spans="9:9" ht="13.2">
      <c r="I184" s="17"/>
    </row>
    <row r="185" spans="9:9" ht="13.2">
      <c r="I185" s="17"/>
    </row>
    <row r="186" spans="9:9" ht="13.2">
      <c r="I186" s="17"/>
    </row>
    <row r="187" spans="9:9" ht="13.2">
      <c r="I187" s="17"/>
    </row>
    <row r="188" spans="9:9" ht="13.2">
      <c r="I188" s="17"/>
    </row>
    <row r="189" spans="9:9" ht="13.2">
      <c r="I189" s="17"/>
    </row>
    <row r="190" spans="9:9" ht="13.2">
      <c r="I190" s="17"/>
    </row>
    <row r="191" spans="9:9" ht="13.2">
      <c r="I191" s="17"/>
    </row>
    <row r="192" spans="9:9" ht="13.2">
      <c r="I192" s="17"/>
    </row>
    <row r="193" spans="9:9" ht="13.2">
      <c r="I193" s="17"/>
    </row>
    <row r="194" spans="9:9" ht="13.2">
      <c r="I194" s="17"/>
    </row>
    <row r="195" spans="9:9" ht="13.2">
      <c r="I195" s="17"/>
    </row>
    <row r="196" spans="9:9" ht="13.2">
      <c r="I196" s="17"/>
    </row>
    <row r="197" spans="9:9" ht="13.2">
      <c r="I197" s="17"/>
    </row>
    <row r="198" spans="9:9" ht="13.2">
      <c r="I198" s="17"/>
    </row>
    <row r="199" spans="9:9" ht="13.2">
      <c r="I199" s="17"/>
    </row>
    <row r="200" spans="9:9" ht="13.2">
      <c r="I200" s="17"/>
    </row>
    <row r="201" spans="9:9" ht="13.2">
      <c r="I201" s="17"/>
    </row>
    <row r="202" spans="9:9" ht="13.2">
      <c r="I202" s="17"/>
    </row>
    <row r="203" spans="9:9" ht="13.2">
      <c r="I203" s="17"/>
    </row>
    <row r="204" spans="9:9" ht="13.2">
      <c r="I204" s="17"/>
    </row>
    <row r="205" spans="9:9" ht="13.2">
      <c r="I205" s="17"/>
    </row>
    <row r="206" spans="9:9" ht="13.2">
      <c r="I206" s="17"/>
    </row>
    <row r="207" spans="9:9" ht="13.2">
      <c r="I207" s="17"/>
    </row>
    <row r="208" spans="9:9" ht="13.2">
      <c r="I208" s="17"/>
    </row>
    <row r="209" spans="9:9" ht="13.2">
      <c r="I209" s="17"/>
    </row>
    <row r="210" spans="9:9" ht="13.2">
      <c r="I210" s="17"/>
    </row>
    <row r="211" spans="9:9" ht="13.2">
      <c r="I211" s="17"/>
    </row>
    <row r="212" spans="9:9" ht="13.2">
      <c r="I212" s="17"/>
    </row>
    <row r="213" spans="9:9" ht="13.2">
      <c r="I213" s="17"/>
    </row>
    <row r="214" spans="9:9" ht="13.2">
      <c r="I214" s="17"/>
    </row>
    <row r="215" spans="9:9" ht="13.2">
      <c r="I215" s="17"/>
    </row>
    <row r="216" spans="9:9" ht="13.2">
      <c r="I216" s="17"/>
    </row>
    <row r="217" spans="9:9" ht="13.2">
      <c r="I217" s="17"/>
    </row>
    <row r="218" spans="9:9" ht="13.2">
      <c r="I218" s="17"/>
    </row>
    <row r="219" spans="9:9" ht="13.2">
      <c r="I219" s="17"/>
    </row>
    <row r="220" spans="9:9" ht="13.2">
      <c r="I220" s="17"/>
    </row>
    <row r="221" spans="9:9" ht="13.2">
      <c r="I221" s="17"/>
    </row>
    <row r="222" spans="9:9" ht="13.2">
      <c r="I222" s="17"/>
    </row>
    <row r="223" spans="9:9" ht="13.2">
      <c r="I223" s="17"/>
    </row>
    <row r="224" spans="9:9" ht="13.2">
      <c r="I224" s="17"/>
    </row>
    <row r="225" spans="9:9" ht="13.2">
      <c r="I225" s="17"/>
    </row>
    <row r="226" spans="9:9" ht="13.2">
      <c r="I226" s="17"/>
    </row>
    <row r="227" spans="9:9" ht="13.2">
      <c r="I227" s="17"/>
    </row>
    <row r="228" spans="9:9" ht="13.2">
      <c r="I228" s="17"/>
    </row>
    <row r="229" spans="9:9" ht="13.2">
      <c r="I229" s="17"/>
    </row>
    <row r="230" spans="9:9" ht="13.2">
      <c r="I230" s="17"/>
    </row>
    <row r="231" spans="9:9" ht="13.2">
      <c r="I231" s="17"/>
    </row>
    <row r="232" spans="9:9" ht="13.2">
      <c r="I232" s="17"/>
    </row>
    <row r="233" spans="9:9" ht="13.2">
      <c r="I233" s="17"/>
    </row>
    <row r="234" spans="9:9" ht="13.2">
      <c r="I234" s="17"/>
    </row>
    <row r="235" spans="9:9" ht="13.2">
      <c r="I235" s="17"/>
    </row>
    <row r="236" spans="9:9" ht="13.2">
      <c r="I236" s="17"/>
    </row>
    <row r="237" spans="9:9" ht="13.2">
      <c r="I237" s="17"/>
    </row>
    <row r="238" spans="9:9" ht="13.2">
      <c r="I238" s="17"/>
    </row>
    <row r="239" spans="9:9" ht="13.2">
      <c r="I239" s="17"/>
    </row>
    <row r="240" spans="9:9" ht="13.2">
      <c r="I240" s="17"/>
    </row>
    <row r="241" spans="9:9" ht="13.2">
      <c r="I241" s="17"/>
    </row>
    <row r="242" spans="9:9" ht="13.2">
      <c r="I242" s="17"/>
    </row>
    <row r="243" spans="9:9" ht="13.2">
      <c r="I243" s="17"/>
    </row>
    <row r="244" spans="9:9" ht="13.2">
      <c r="I244" s="17"/>
    </row>
    <row r="245" spans="9:9" ht="13.2">
      <c r="I245" s="17"/>
    </row>
    <row r="246" spans="9:9" ht="13.2">
      <c r="I246" s="17"/>
    </row>
    <row r="247" spans="9:9" ht="13.2">
      <c r="I247" s="17"/>
    </row>
    <row r="248" spans="9:9" ht="13.2">
      <c r="I248" s="17"/>
    </row>
    <row r="249" spans="9:9" ht="13.2">
      <c r="I249" s="17"/>
    </row>
    <row r="250" spans="9:9" ht="13.2">
      <c r="I250" s="17"/>
    </row>
    <row r="251" spans="9:9" ht="13.2">
      <c r="I251" s="17"/>
    </row>
    <row r="252" spans="9:9" ht="13.2">
      <c r="I252" s="17"/>
    </row>
    <row r="253" spans="9:9" ht="13.2">
      <c r="I253" s="17"/>
    </row>
    <row r="254" spans="9:9" ht="13.2">
      <c r="I254" s="17"/>
    </row>
    <row r="255" spans="9:9" ht="13.2">
      <c r="I255" s="17"/>
    </row>
    <row r="256" spans="9:9" ht="13.2">
      <c r="I256" s="17"/>
    </row>
    <row r="257" spans="9:9" ht="13.2">
      <c r="I257" s="17"/>
    </row>
    <row r="258" spans="9:9" ht="13.2">
      <c r="I258" s="17"/>
    </row>
    <row r="259" spans="9:9" ht="13.2">
      <c r="I259" s="17"/>
    </row>
    <row r="260" spans="9:9" ht="13.2">
      <c r="I260" s="17"/>
    </row>
    <row r="261" spans="9:9" ht="13.2">
      <c r="I261" s="17"/>
    </row>
    <row r="262" spans="9:9" ht="13.2">
      <c r="I262" s="17"/>
    </row>
    <row r="263" spans="9:9" ht="13.2">
      <c r="I263" s="17"/>
    </row>
    <row r="264" spans="9:9" ht="13.2">
      <c r="I264" s="17"/>
    </row>
    <row r="265" spans="9:9" ht="13.2">
      <c r="I265" s="17"/>
    </row>
    <row r="266" spans="9:9" ht="13.2">
      <c r="I266" s="17"/>
    </row>
    <row r="267" spans="9:9" ht="13.2">
      <c r="I267" s="17"/>
    </row>
    <row r="268" spans="9:9" ht="13.2">
      <c r="I268" s="17"/>
    </row>
    <row r="269" spans="9:9" ht="13.2">
      <c r="I269" s="17"/>
    </row>
    <row r="270" spans="9:9" ht="13.2">
      <c r="I270" s="17"/>
    </row>
    <row r="271" spans="9:9" ht="13.2">
      <c r="I271" s="17"/>
    </row>
    <row r="272" spans="9:9" ht="13.2">
      <c r="I272" s="17"/>
    </row>
    <row r="273" spans="9:9" ht="13.2">
      <c r="I273" s="17"/>
    </row>
    <row r="274" spans="9:9" ht="13.2">
      <c r="I274" s="17"/>
    </row>
    <row r="275" spans="9:9" ht="13.2">
      <c r="I275" s="17"/>
    </row>
    <row r="276" spans="9:9" ht="13.2">
      <c r="I276" s="17"/>
    </row>
    <row r="277" spans="9:9" ht="13.2">
      <c r="I277" s="17"/>
    </row>
    <row r="278" spans="9:9" ht="13.2">
      <c r="I278" s="17"/>
    </row>
    <row r="279" spans="9:9" ht="13.2">
      <c r="I279" s="17"/>
    </row>
    <row r="280" spans="9:9" ht="13.2">
      <c r="I280" s="17"/>
    </row>
    <row r="281" spans="9:9" ht="13.2">
      <c r="I281" s="17"/>
    </row>
    <row r="282" spans="9:9" ht="13.2">
      <c r="I282" s="17"/>
    </row>
    <row r="283" spans="9:9" ht="13.2">
      <c r="I283" s="17"/>
    </row>
    <row r="284" spans="9:9" ht="13.2">
      <c r="I284" s="17"/>
    </row>
    <row r="285" spans="9:9" ht="13.2">
      <c r="I285" s="17"/>
    </row>
    <row r="286" spans="9:9" ht="13.2">
      <c r="I286" s="17"/>
    </row>
    <row r="287" spans="9:9" ht="13.2">
      <c r="I287" s="17"/>
    </row>
    <row r="288" spans="9:9" ht="13.2">
      <c r="I288" s="17"/>
    </row>
    <row r="289" spans="9:9" ht="13.2">
      <c r="I289" s="17"/>
    </row>
    <row r="290" spans="9:9" ht="13.2">
      <c r="I290" s="17"/>
    </row>
    <row r="291" spans="9:9" ht="13.2">
      <c r="I291" s="17"/>
    </row>
    <row r="292" spans="9:9" ht="13.2">
      <c r="I292" s="17"/>
    </row>
    <row r="293" spans="9:9" ht="13.2">
      <c r="I293" s="17"/>
    </row>
    <row r="294" spans="9:9" ht="13.2">
      <c r="I294" s="17"/>
    </row>
    <row r="295" spans="9:9" ht="13.2">
      <c r="I295" s="17"/>
    </row>
    <row r="296" spans="9:9" ht="13.2">
      <c r="I296" s="17"/>
    </row>
    <row r="297" spans="9:9" ht="13.2">
      <c r="I297" s="17"/>
    </row>
    <row r="298" spans="9:9" ht="13.2">
      <c r="I298" s="17"/>
    </row>
    <row r="299" spans="9:9" ht="13.2">
      <c r="I299" s="17"/>
    </row>
    <row r="300" spans="9:9" ht="13.2">
      <c r="I300" s="17"/>
    </row>
    <row r="301" spans="9:9" ht="13.2">
      <c r="I301" s="17"/>
    </row>
    <row r="302" spans="9:9" ht="13.2">
      <c r="I302" s="17"/>
    </row>
    <row r="303" spans="9:9" ht="13.2">
      <c r="I303" s="17"/>
    </row>
    <row r="304" spans="9:9" ht="13.2">
      <c r="I304" s="17"/>
    </row>
    <row r="305" spans="9:9" ht="13.2">
      <c r="I305" s="17"/>
    </row>
    <row r="306" spans="9:9" ht="13.2">
      <c r="I306" s="17"/>
    </row>
    <row r="307" spans="9:9" ht="13.2">
      <c r="I307" s="17"/>
    </row>
    <row r="308" spans="9:9" ht="13.2">
      <c r="I308" s="17"/>
    </row>
    <row r="309" spans="9:9" ht="13.2">
      <c r="I309" s="17"/>
    </row>
    <row r="310" spans="9:9" ht="13.2">
      <c r="I310" s="17"/>
    </row>
    <row r="311" spans="9:9" ht="13.2">
      <c r="I311" s="17"/>
    </row>
    <row r="312" spans="9:9" ht="13.2">
      <c r="I312" s="17"/>
    </row>
    <row r="313" spans="9:9" ht="13.2">
      <c r="I313" s="17"/>
    </row>
    <row r="314" spans="9:9" ht="13.2">
      <c r="I314" s="17"/>
    </row>
    <row r="315" spans="9:9" ht="13.2">
      <c r="I315" s="17"/>
    </row>
    <row r="316" spans="9:9" ht="13.2">
      <c r="I316" s="17"/>
    </row>
    <row r="317" spans="9:9" ht="13.2">
      <c r="I317" s="17"/>
    </row>
    <row r="318" spans="9:9" ht="13.2">
      <c r="I318" s="17"/>
    </row>
    <row r="319" spans="9:9" ht="13.2">
      <c r="I319" s="17"/>
    </row>
    <row r="320" spans="9:9" ht="13.2">
      <c r="I320" s="17"/>
    </row>
    <row r="321" spans="9:9" ht="13.2">
      <c r="I321" s="17"/>
    </row>
    <row r="322" spans="9:9" ht="13.2">
      <c r="I322" s="17"/>
    </row>
    <row r="323" spans="9:9" ht="13.2">
      <c r="I323" s="17"/>
    </row>
    <row r="324" spans="9:9" ht="13.2">
      <c r="I324" s="17"/>
    </row>
    <row r="325" spans="9:9" ht="13.2">
      <c r="I325" s="17"/>
    </row>
    <row r="326" spans="9:9" ht="13.2">
      <c r="I326" s="17"/>
    </row>
    <row r="327" spans="9:9" ht="13.2">
      <c r="I327" s="17"/>
    </row>
    <row r="328" spans="9:9" ht="13.2">
      <c r="I328" s="17"/>
    </row>
    <row r="329" spans="9:9" ht="13.2">
      <c r="I329" s="17"/>
    </row>
    <row r="330" spans="9:9" ht="13.2">
      <c r="I330" s="17"/>
    </row>
    <row r="331" spans="9:9" ht="13.2">
      <c r="I331" s="17"/>
    </row>
    <row r="332" spans="9:9" ht="13.2">
      <c r="I332" s="17"/>
    </row>
    <row r="333" spans="9:9" ht="13.2">
      <c r="I333" s="17"/>
    </row>
    <row r="334" spans="9:9" ht="13.2">
      <c r="I334" s="17"/>
    </row>
    <row r="335" spans="9:9" ht="13.2">
      <c r="I335" s="17"/>
    </row>
    <row r="336" spans="9:9" ht="13.2">
      <c r="I336" s="17"/>
    </row>
    <row r="337" spans="9:9" ht="13.2">
      <c r="I337" s="17"/>
    </row>
    <row r="338" spans="9:9" ht="13.2">
      <c r="I338" s="17"/>
    </row>
    <row r="339" spans="9:9" ht="13.2">
      <c r="I339" s="17"/>
    </row>
    <row r="340" spans="9:9" ht="13.2">
      <c r="I340" s="17"/>
    </row>
    <row r="341" spans="9:9" ht="13.2">
      <c r="I341" s="17"/>
    </row>
    <row r="342" spans="9:9" ht="13.2">
      <c r="I342" s="17"/>
    </row>
    <row r="343" spans="9:9" ht="13.2">
      <c r="I343" s="17"/>
    </row>
    <row r="344" spans="9:9" ht="13.2">
      <c r="I344" s="17"/>
    </row>
    <row r="345" spans="9:9" ht="13.2">
      <c r="I345" s="17"/>
    </row>
    <row r="346" spans="9:9" ht="13.2">
      <c r="I346" s="17"/>
    </row>
    <row r="347" spans="9:9" ht="13.2">
      <c r="I347" s="17"/>
    </row>
    <row r="348" spans="9:9" ht="13.2">
      <c r="I348" s="17"/>
    </row>
    <row r="349" spans="9:9" ht="13.2">
      <c r="I349" s="17"/>
    </row>
    <row r="350" spans="9:9" ht="13.2">
      <c r="I350" s="17"/>
    </row>
    <row r="351" spans="9:9" ht="13.2">
      <c r="I351" s="17"/>
    </row>
    <row r="352" spans="9:9" ht="13.2">
      <c r="I352" s="17"/>
    </row>
    <row r="353" spans="9:9" ht="13.2">
      <c r="I353" s="17"/>
    </row>
    <row r="354" spans="9:9" ht="13.2">
      <c r="I354" s="17"/>
    </row>
    <row r="355" spans="9:9" ht="13.2">
      <c r="I355" s="17"/>
    </row>
    <row r="356" spans="9:9" ht="13.2">
      <c r="I356" s="17"/>
    </row>
    <row r="357" spans="9:9" ht="13.2">
      <c r="I357" s="17"/>
    </row>
    <row r="358" spans="9:9" ht="13.2">
      <c r="I358" s="17"/>
    </row>
    <row r="359" spans="9:9" ht="13.2">
      <c r="I359" s="17"/>
    </row>
    <row r="360" spans="9:9" ht="13.2">
      <c r="I360" s="17"/>
    </row>
    <row r="361" spans="9:9" ht="13.2">
      <c r="I361" s="17"/>
    </row>
    <row r="362" spans="9:9" ht="13.2">
      <c r="I362" s="17"/>
    </row>
    <row r="363" spans="9:9" ht="13.2">
      <c r="I363" s="17"/>
    </row>
    <row r="364" spans="9:9" ht="13.2">
      <c r="I364" s="17"/>
    </row>
    <row r="365" spans="9:9" ht="13.2">
      <c r="I365" s="17"/>
    </row>
    <row r="366" spans="9:9" ht="13.2">
      <c r="I366" s="17"/>
    </row>
    <row r="367" spans="9:9" ht="13.2">
      <c r="I367" s="17"/>
    </row>
    <row r="368" spans="9:9" ht="13.2">
      <c r="I368" s="17"/>
    </row>
    <row r="369" spans="9:9" ht="13.2">
      <c r="I369" s="17"/>
    </row>
    <row r="370" spans="9:9" ht="13.2">
      <c r="I370" s="17"/>
    </row>
    <row r="371" spans="9:9" ht="13.2">
      <c r="I371" s="17"/>
    </row>
    <row r="372" spans="9:9" ht="13.2">
      <c r="I372" s="17"/>
    </row>
    <row r="373" spans="9:9" ht="13.2">
      <c r="I373" s="17"/>
    </row>
    <row r="374" spans="9:9" ht="13.2">
      <c r="I374" s="17"/>
    </row>
    <row r="375" spans="9:9" ht="13.2">
      <c r="I375" s="17"/>
    </row>
    <row r="376" spans="9:9" ht="13.2">
      <c r="I376" s="17"/>
    </row>
    <row r="377" spans="9:9" ht="13.2">
      <c r="I377" s="17"/>
    </row>
    <row r="378" spans="9:9" ht="13.2">
      <c r="I378" s="17"/>
    </row>
    <row r="379" spans="9:9" ht="13.2">
      <c r="I379" s="17"/>
    </row>
    <row r="380" spans="9:9" ht="13.2">
      <c r="I380" s="17"/>
    </row>
    <row r="381" spans="9:9" ht="13.2">
      <c r="I381" s="17"/>
    </row>
    <row r="382" spans="9:9" ht="13.2">
      <c r="I382" s="17"/>
    </row>
    <row r="383" spans="9:9" ht="13.2">
      <c r="I383" s="17"/>
    </row>
    <row r="384" spans="9:9" ht="13.2">
      <c r="I384" s="17"/>
    </row>
    <row r="385" spans="9:9" ht="13.2">
      <c r="I385" s="17"/>
    </row>
    <row r="386" spans="9:9" ht="13.2">
      <c r="I386" s="17"/>
    </row>
    <row r="387" spans="9:9" ht="13.2">
      <c r="I387" s="17"/>
    </row>
    <row r="388" spans="9:9" ht="13.2">
      <c r="I388" s="17"/>
    </row>
    <row r="389" spans="9:9" ht="13.2">
      <c r="I389" s="17"/>
    </row>
    <row r="390" spans="9:9" ht="13.2">
      <c r="I390" s="17"/>
    </row>
    <row r="391" spans="9:9" ht="13.2">
      <c r="I391" s="17"/>
    </row>
    <row r="392" spans="9:9" ht="13.2">
      <c r="I392" s="17"/>
    </row>
    <row r="393" spans="9:9" ht="13.2">
      <c r="I393" s="17"/>
    </row>
    <row r="394" spans="9:9" ht="13.2">
      <c r="I394" s="17"/>
    </row>
    <row r="395" spans="9:9" ht="13.2">
      <c r="I395" s="17"/>
    </row>
    <row r="396" spans="9:9" ht="13.2">
      <c r="I396" s="17"/>
    </row>
    <row r="397" spans="9:9" ht="13.2">
      <c r="I397" s="17"/>
    </row>
    <row r="398" spans="9:9" ht="13.2">
      <c r="I398" s="17"/>
    </row>
    <row r="399" spans="9:9" ht="13.2">
      <c r="I399" s="17"/>
    </row>
    <row r="400" spans="9:9" ht="13.2">
      <c r="I400" s="17"/>
    </row>
    <row r="401" spans="9:9" ht="13.2">
      <c r="I401" s="17"/>
    </row>
    <row r="402" spans="9:9" ht="13.2">
      <c r="I402" s="17"/>
    </row>
    <row r="403" spans="9:9" ht="13.2">
      <c r="I403" s="17"/>
    </row>
    <row r="404" spans="9:9" ht="13.2">
      <c r="I404" s="17"/>
    </row>
    <row r="405" spans="9:9" ht="13.2">
      <c r="I405" s="17"/>
    </row>
    <row r="406" spans="9:9" ht="13.2">
      <c r="I406" s="17"/>
    </row>
    <row r="407" spans="9:9" ht="13.2">
      <c r="I407" s="17"/>
    </row>
    <row r="408" spans="9:9" ht="13.2">
      <c r="I408" s="17"/>
    </row>
    <row r="409" spans="9:9" ht="13.2">
      <c r="I409" s="17"/>
    </row>
    <row r="410" spans="9:9" ht="13.2">
      <c r="I410" s="17"/>
    </row>
    <row r="411" spans="9:9" ht="13.2">
      <c r="I411" s="17"/>
    </row>
    <row r="412" spans="9:9" ht="13.2">
      <c r="I412" s="17"/>
    </row>
    <row r="413" spans="9:9" ht="13.2">
      <c r="I413" s="17"/>
    </row>
    <row r="414" spans="9:9" ht="13.2">
      <c r="I414" s="17"/>
    </row>
    <row r="415" spans="9:9" ht="13.2">
      <c r="I415" s="17"/>
    </row>
    <row r="416" spans="9:9" ht="13.2">
      <c r="I416" s="17"/>
    </row>
    <row r="417" spans="9:9" ht="13.2">
      <c r="I417" s="17"/>
    </row>
    <row r="418" spans="9:9" ht="13.2">
      <c r="I418" s="17"/>
    </row>
    <row r="419" spans="9:9" ht="13.2">
      <c r="I419" s="17"/>
    </row>
    <row r="420" spans="9:9" ht="13.2">
      <c r="I420" s="17"/>
    </row>
    <row r="421" spans="9:9" ht="13.2">
      <c r="I421" s="17"/>
    </row>
    <row r="422" spans="9:9" ht="13.2">
      <c r="I422" s="17"/>
    </row>
    <row r="423" spans="9:9" ht="13.2">
      <c r="I423" s="17"/>
    </row>
    <row r="424" spans="9:9" ht="13.2">
      <c r="I424" s="17"/>
    </row>
    <row r="425" spans="9:9" ht="13.2">
      <c r="I425" s="17"/>
    </row>
    <row r="426" spans="9:9" ht="13.2">
      <c r="I426" s="17"/>
    </row>
    <row r="427" spans="9:9" ht="13.2">
      <c r="I427" s="17"/>
    </row>
    <row r="428" spans="9:9" ht="13.2">
      <c r="I428" s="17"/>
    </row>
    <row r="429" spans="9:9" ht="13.2">
      <c r="I429" s="17"/>
    </row>
    <row r="430" spans="9:9" ht="13.2">
      <c r="I430" s="17"/>
    </row>
    <row r="431" spans="9:9" ht="13.2">
      <c r="I431" s="17"/>
    </row>
    <row r="432" spans="9:9" ht="13.2">
      <c r="I432" s="17"/>
    </row>
    <row r="433" spans="9:9" ht="13.2">
      <c r="I433" s="17"/>
    </row>
    <row r="434" spans="9:9" ht="13.2">
      <c r="I434" s="17"/>
    </row>
    <row r="435" spans="9:9" ht="13.2">
      <c r="I435" s="17"/>
    </row>
    <row r="436" spans="9:9" ht="13.2">
      <c r="I436" s="17"/>
    </row>
    <row r="437" spans="9:9" ht="13.2">
      <c r="I437" s="17"/>
    </row>
    <row r="438" spans="9:9" ht="13.2">
      <c r="I438" s="17"/>
    </row>
    <row r="439" spans="9:9" ht="13.2">
      <c r="I439" s="17"/>
    </row>
    <row r="440" spans="9:9" ht="13.2">
      <c r="I440" s="17"/>
    </row>
    <row r="441" spans="9:9" ht="13.2">
      <c r="I441" s="17"/>
    </row>
    <row r="442" spans="9:9" ht="13.2">
      <c r="I442" s="17"/>
    </row>
    <row r="443" spans="9:9" ht="13.2">
      <c r="I443" s="17"/>
    </row>
    <row r="444" spans="9:9" ht="13.2">
      <c r="I444" s="17"/>
    </row>
    <row r="445" spans="9:9" ht="13.2">
      <c r="I445" s="17"/>
    </row>
    <row r="446" spans="9:9" ht="13.2">
      <c r="I446" s="17"/>
    </row>
    <row r="447" spans="9:9" ht="13.2">
      <c r="I447" s="17"/>
    </row>
    <row r="448" spans="9:9" ht="13.2">
      <c r="I448" s="17"/>
    </row>
    <row r="449" spans="9:9" ht="13.2">
      <c r="I449" s="17"/>
    </row>
    <row r="450" spans="9:9" ht="13.2">
      <c r="I450" s="17"/>
    </row>
    <row r="451" spans="9:9" ht="13.2">
      <c r="I451" s="17"/>
    </row>
    <row r="452" spans="9:9" ht="13.2">
      <c r="I452" s="17"/>
    </row>
    <row r="453" spans="9:9" ht="13.2">
      <c r="I453" s="17"/>
    </row>
    <row r="454" spans="9:9" ht="13.2">
      <c r="I454" s="17"/>
    </row>
    <row r="455" spans="9:9" ht="13.2">
      <c r="I455" s="17"/>
    </row>
    <row r="456" spans="9:9" ht="13.2">
      <c r="I456" s="17"/>
    </row>
    <row r="457" spans="9:9" ht="13.2">
      <c r="I457" s="17"/>
    </row>
    <row r="458" spans="9:9" ht="13.2">
      <c r="I458" s="17"/>
    </row>
    <row r="459" spans="9:9" ht="13.2">
      <c r="I459" s="17"/>
    </row>
    <row r="460" spans="9:9" ht="13.2">
      <c r="I460" s="17"/>
    </row>
    <row r="461" spans="9:9" ht="13.2">
      <c r="I461" s="17"/>
    </row>
    <row r="462" spans="9:9" ht="13.2">
      <c r="I462" s="17"/>
    </row>
    <row r="463" spans="9:9" ht="13.2">
      <c r="I463" s="17"/>
    </row>
    <row r="464" spans="9:9" ht="13.2">
      <c r="I464" s="17"/>
    </row>
    <row r="465" spans="9:9" ht="13.2">
      <c r="I465" s="17"/>
    </row>
    <row r="466" spans="9:9" ht="13.2">
      <c r="I466" s="17"/>
    </row>
    <row r="467" spans="9:9" ht="13.2">
      <c r="I467" s="17"/>
    </row>
    <row r="468" spans="9:9" ht="13.2">
      <c r="I468" s="17"/>
    </row>
    <row r="469" spans="9:9" ht="13.2">
      <c r="I469" s="17"/>
    </row>
    <row r="470" spans="9:9" ht="13.2">
      <c r="I470" s="17"/>
    </row>
    <row r="471" spans="9:9" ht="13.2">
      <c r="I471" s="17"/>
    </row>
    <row r="472" spans="9:9" ht="13.2">
      <c r="I472" s="17"/>
    </row>
    <row r="473" spans="9:9" ht="13.2">
      <c r="I473" s="17"/>
    </row>
    <row r="474" spans="9:9" ht="13.2">
      <c r="I474" s="17"/>
    </row>
    <row r="475" spans="9:9" ht="13.2">
      <c r="I475" s="17"/>
    </row>
    <row r="476" spans="9:9" ht="13.2">
      <c r="I476" s="17"/>
    </row>
    <row r="477" spans="9:9" ht="13.2">
      <c r="I477" s="17"/>
    </row>
    <row r="478" spans="9:9" ht="13.2">
      <c r="I478" s="17"/>
    </row>
    <row r="479" spans="9:9" ht="13.2">
      <c r="I479" s="17"/>
    </row>
    <row r="480" spans="9:9" ht="13.2">
      <c r="I480" s="17"/>
    </row>
    <row r="481" spans="9:9" ht="13.2">
      <c r="I481" s="17"/>
    </row>
    <row r="482" spans="9:9" ht="13.2">
      <c r="I482" s="17"/>
    </row>
    <row r="483" spans="9:9" ht="13.2">
      <c r="I483" s="17"/>
    </row>
    <row r="484" spans="9:9" ht="13.2">
      <c r="I484" s="17"/>
    </row>
    <row r="485" spans="9:9" ht="13.2">
      <c r="I485" s="17"/>
    </row>
    <row r="486" spans="9:9" ht="13.2">
      <c r="I486" s="17"/>
    </row>
    <row r="487" spans="9:9" ht="13.2">
      <c r="I487" s="17"/>
    </row>
    <row r="488" spans="9:9" ht="13.2">
      <c r="I488" s="17"/>
    </row>
    <row r="489" spans="9:9" ht="13.2">
      <c r="I489" s="17"/>
    </row>
    <row r="490" spans="9:9" ht="13.2">
      <c r="I490" s="17"/>
    </row>
    <row r="491" spans="9:9" ht="13.2">
      <c r="I491" s="17"/>
    </row>
    <row r="492" spans="9:9" ht="13.2">
      <c r="I492" s="17"/>
    </row>
    <row r="493" spans="9:9" ht="13.2">
      <c r="I493" s="17"/>
    </row>
    <row r="494" spans="9:9" ht="13.2">
      <c r="I494" s="17"/>
    </row>
    <row r="495" spans="9:9" ht="13.2">
      <c r="I495" s="17"/>
    </row>
    <row r="496" spans="9:9" ht="13.2">
      <c r="I496" s="17"/>
    </row>
    <row r="497" spans="9:9" ht="13.2">
      <c r="I497" s="17"/>
    </row>
    <row r="498" spans="9:9" ht="13.2">
      <c r="I498" s="17"/>
    </row>
    <row r="499" spans="9:9" ht="13.2">
      <c r="I499" s="17"/>
    </row>
    <row r="500" spans="9:9" ht="13.2">
      <c r="I500" s="17"/>
    </row>
    <row r="501" spans="9:9" ht="13.2">
      <c r="I501" s="17"/>
    </row>
    <row r="502" spans="9:9" ht="13.2">
      <c r="I502" s="17"/>
    </row>
    <row r="503" spans="9:9" ht="13.2">
      <c r="I503" s="17"/>
    </row>
    <row r="504" spans="9:9" ht="13.2">
      <c r="I504" s="17"/>
    </row>
    <row r="505" spans="9:9" ht="13.2">
      <c r="I505" s="17"/>
    </row>
    <row r="506" spans="9:9" ht="13.2">
      <c r="I506" s="17"/>
    </row>
    <row r="507" spans="9:9" ht="13.2">
      <c r="I507" s="17"/>
    </row>
    <row r="508" spans="9:9" ht="13.2">
      <c r="I508" s="17"/>
    </row>
    <row r="509" spans="9:9" ht="13.2">
      <c r="I509" s="17"/>
    </row>
    <row r="510" spans="9:9" ht="13.2">
      <c r="I510" s="17"/>
    </row>
    <row r="511" spans="9:9" ht="13.2">
      <c r="I511" s="17"/>
    </row>
    <row r="512" spans="9:9" ht="13.2">
      <c r="I512" s="17"/>
    </row>
    <row r="513" spans="9:9" ht="13.2">
      <c r="I513" s="17"/>
    </row>
    <row r="514" spans="9:9" ht="13.2">
      <c r="I514" s="17"/>
    </row>
    <row r="515" spans="9:9" ht="13.2">
      <c r="I515" s="17"/>
    </row>
    <row r="516" spans="9:9" ht="13.2">
      <c r="I516" s="17"/>
    </row>
    <row r="517" spans="9:9" ht="13.2">
      <c r="I517" s="17"/>
    </row>
    <row r="518" spans="9:9" ht="13.2">
      <c r="I518" s="17"/>
    </row>
    <row r="519" spans="9:9" ht="13.2">
      <c r="I519" s="17"/>
    </row>
    <row r="520" spans="9:9" ht="13.2">
      <c r="I520" s="17"/>
    </row>
    <row r="521" spans="9:9" ht="13.2">
      <c r="I521" s="17"/>
    </row>
    <row r="522" spans="9:9" ht="13.2">
      <c r="I522" s="17"/>
    </row>
    <row r="523" spans="9:9" ht="13.2">
      <c r="I523" s="17"/>
    </row>
    <row r="524" spans="9:9" ht="13.2">
      <c r="I524" s="17"/>
    </row>
    <row r="525" spans="9:9" ht="13.2">
      <c r="I525" s="17"/>
    </row>
    <row r="526" spans="9:9" ht="13.2">
      <c r="I526" s="17"/>
    </row>
    <row r="527" spans="9:9" ht="13.2">
      <c r="I527" s="17"/>
    </row>
    <row r="528" spans="9:9" ht="13.2">
      <c r="I528" s="17"/>
    </row>
    <row r="529" spans="9:9" ht="13.2">
      <c r="I529" s="17"/>
    </row>
    <row r="530" spans="9:9" ht="13.2">
      <c r="I530" s="17"/>
    </row>
    <row r="531" spans="9:9" ht="13.2">
      <c r="I531" s="17"/>
    </row>
    <row r="532" spans="9:9" ht="13.2">
      <c r="I532" s="17"/>
    </row>
    <row r="533" spans="9:9" ht="13.2">
      <c r="I533" s="17"/>
    </row>
    <row r="534" spans="9:9" ht="13.2">
      <c r="I534" s="17"/>
    </row>
    <row r="535" spans="9:9" ht="13.2">
      <c r="I535" s="17"/>
    </row>
    <row r="536" spans="9:9" ht="13.2">
      <c r="I536" s="17"/>
    </row>
    <row r="537" spans="9:9" ht="13.2">
      <c r="I537" s="17"/>
    </row>
    <row r="538" spans="9:9" ht="13.2">
      <c r="I538" s="17"/>
    </row>
    <row r="539" spans="9:9" ht="13.2">
      <c r="I539" s="17"/>
    </row>
    <row r="540" spans="9:9" ht="13.2">
      <c r="I540" s="17"/>
    </row>
    <row r="541" spans="9:9" ht="13.2">
      <c r="I541" s="17"/>
    </row>
    <row r="542" spans="9:9" ht="13.2">
      <c r="I542" s="17"/>
    </row>
    <row r="543" spans="9:9" ht="13.2">
      <c r="I543" s="17"/>
    </row>
    <row r="544" spans="9:9" ht="13.2">
      <c r="I544" s="17"/>
    </row>
    <row r="545" spans="9:9" ht="13.2">
      <c r="I545" s="17"/>
    </row>
    <row r="546" spans="9:9" ht="13.2">
      <c r="I546" s="17"/>
    </row>
    <row r="547" spans="9:9" ht="13.2">
      <c r="I547" s="17"/>
    </row>
    <row r="548" spans="9:9" ht="13.2">
      <c r="I548" s="17"/>
    </row>
    <row r="549" spans="9:9" ht="13.2">
      <c r="I549" s="17"/>
    </row>
    <row r="550" spans="9:9" ht="13.2">
      <c r="I550" s="17"/>
    </row>
    <row r="551" spans="9:9" ht="13.2">
      <c r="I551" s="17"/>
    </row>
    <row r="552" spans="9:9" ht="13.2">
      <c r="I552" s="17"/>
    </row>
    <row r="553" spans="9:9" ht="13.2">
      <c r="I553" s="17"/>
    </row>
    <row r="554" spans="9:9" ht="13.2">
      <c r="I554" s="17"/>
    </row>
    <row r="555" spans="9:9" ht="13.2">
      <c r="I555" s="17"/>
    </row>
    <row r="556" spans="9:9" ht="13.2">
      <c r="I556" s="17"/>
    </row>
    <row r="557" spans="9:9" ht="13.2">
      <c r="I557" s="17"/>
    </row>
    <row r="558" spans="9:9" ht="13.2">
      <c r="I558" s="17"/>
    </row>
    <row r="559" spans="9:9" ht="13.2">
      <c r="I559" s="17"/>
    </row>
    <row r="560" spans="9:9" ht="13.2">
      <c r="I560" s="17"/>
    </row>
    <row r="561" spans="9:9" ht="13.2">
      <c r="I561" s="17"/>
    </row>
    <row r="562" spans="9:9" ht="13.2">
      <c r="I562" s="17"/>
    </row>
    <row r="563" spans="9:9" ht="13.2">
      <c r="I563" s="17"/>
    </row>
    <row r="564" spans="9:9" ht="13.2">
      <c r="I564" s="17"/>
    </row>
    <row r="565" spans="9:9" ht="13.2">
      <c r="I565" s="17"/>
    </row>
    <row r="566" spans="9:9" ht="13.2">
      <c r="I566" s="17"/>
    </row>
    <row r="567" spans="9:9" ht="13.2">
      <c r="I567" s="17"/>
    </row>
    <row r="568" spans="9:9" ht="13.2">
      <c r="I568" s="17"/>
    </row>
    <row r="569" spans="9:9" ht="13.2">
      <c r="I569" s="17"/>
    </row>
    <row r="570" spans="9:9" ht="13.2">
      <c r="I570" s="17"/>
    </row>
    <row r="571" spans="9:9" ht="13.2">
      <c r="I571" s="17"/>
    </row>
    <row r="572" spans="9:9" ht="13.2">
      <c r="I572" s="17"/>
    </row>
    <row r="573" spans="9:9" ht="13.2">
      <c r="I573" s="17"/>
    </row>
    <row r="574" spans="9:9" ht="13.2">
      <c r="I574" s="17"/>
    </row>
    <row r="575" spans="9:9" ht="13.2">
      <c r="I575" s="17"/>
    </row>
    <row r="576" spans="9:9" ht="13.2">
      <c r="I576" s="17"/>
    </row>
    <row r="577" spans="9:9" ht="13.2">
      <c r="I577" s="17"/>
    </row>
    <row r="578" spans="9:9" ht="13.2">
      <c r="I578" s="17"/>
    </row>
    <row r="579" spans="9:9" ht="13.2">
      <c r="I579" s="17"/>
    </row>
    <row r="580" spans="9:9" ht="13.2">
      <c r="I580" s="17"/>
    </row>
    <row r="581" spans="9:9" ht="13.2">
      <c r="I581" s="17"/>
    </row>
    <row r="582" spans="9:9" ht="13.2">
      <c r="I582" s="17"/>
    </row>
    <row r="583" spans="9:9" ht="13.2">
      <c r="I583" s="17"/>
    </row>
    <row r="584" spans="9:9" ht="13.2">
      <c r="I584" s="17"/>
    </row>
    <row r="585" spans="9:9" ht="13.2">
      <c r="I585" s="17"/>
    </row>
    <row r="586" spans="9:9" ht="13.2">
      <c r="I586" s="17"/>
    </row>
    <row r="587" spans="9:9" ht="13.2">
      <c r="I587" s="17"/>
    </row>
    <row r="588" spans="9:9" ht="13.2">
      <c r="I588" s="17"/>
    </row>
    <row r="589" spans="9:9" ht="13.2">
      <c r="I589" s="17"/>
    </row>
    <row r="590" spans="9:9" ht="13.2">
      <c r="I590" s="17"/>
    </row>
    <row r="591" spans="9:9" ht="13.2">
      <c r="I591" s="17"/>
    </row>
    <row r="592" spans="9:9" ht="13.2">
      <c r="I592" s="17"/>
    </row>
    <row r="593" spans="9:9" ht="13.2">
      <c r="I593" s="17"/>
    </row>
    <row r="594" spans="9:9" ht="13.2">
      <c r="I594" s="17"/>
    </row>
    <row r="595" spans="9:9" ht="13.2">
      <c r="I595" s="17"/>
    </row>
    <row r="596" spans="9:9" ht="13.2">
      <c r="I596" s="17"/>
    </row>
    <row r="597" spans="9:9" ht="13.2">
      <c r="I597" s="17"/>
    </row>
    <row r="598" spans="9:9" ht="13.2">
      <c r="I598" s="17"/>
    </row>
    <row r="599" spans="9:9" ht="13.2">
      <c r="I599" s="17"/>
    </row>
    <row r="600" spans="9:9" ht="13.2">
      <c r="I600" s="17"/>
    </row>
    <row r="601" spans="9:9" ht="13.2">
      <c r="I601" s="17"/>
    </row>
    <row r="602" spans="9:9" ht="13.2">
      <c r="I602" s="17"/>
    </row>
    <row r="603" spans="9:9" ht="13.2">
      <c r="I603" s="17"/>
    </row>
    <row r="604" spans="9:9" ht="13.2">
      <c r="I604" s="17"/>
    </row>
    <row r="605" spans="9:9" ht="13.2">
      <c r="I605" s="17"/>
    </row>
    <row r="606" spans="9:9" ht="13.2">
      <c r="I606" s="17"/>
    </row>
    <row r="607" spans="9:9" ht="13.2">
      <c r="I607" s="17"/>
    </row>
    <row r="608" spans="9:9" ht="13.2">
      <c r="I608" s="17"/>
    </row>
    <row r="609" spans="9:9" ht="13.2">
      <c r="I609" s="17"/>
    </row>
    <row r="610" spans="9:9" ht="13.2">
      <c r="I610" s="17"/>
    </row>
    <row r="611" spans="9:9" ht="13.2">
      <c r="I611" s="17"/>
    </row>
    <row r="612" spans="9:9" ht="13.2">
      <c r="I612" s="17"/>
    </row>
    <row r="613" spans="9:9" ht="13.2">
      <c r="I613" s="17"/>
    </row>
    <row r="614" spans="9:9" ht="13.2">
      <c r="I614" s="17"/>
    </row>
    <row r="615" spans="9:9" ht="13.2">
      <c r="I615" s="17"/>
    </row>
    <row r="616" spans="9:9" ht="13.2">
      <c r="I616" s="17"/>
    </row>
    <row r="617" spans="9:9" ht="13.2">
      <c r="I617" s="17"/>
    </row>
    <row r="618" spans="9:9" ht="13.2">
      <c r="I618" s="17"/>
    </row>
    <row r="619" spans="9:9" ht="13.2">
      <c r="I619" s="17"/>
    </row>
    <row r="620" spans="9:9" ht="13.2">
      <c r="I620" s="17"/>
    </row>
    <row r="621" spans="9:9" ht="13.2">
      <c r="I621" s="17"/>
    </row>
    <row r="622" spans="9:9" ht="13.2">
      <c r="I622" s="17"/>
    </row>
    <row r="623" spans="9:9" ht="13.2">
      <c r="I623" s="17"/>
    </row>
    <row r="624" spans="9:9" ht="13.2">
      <c r="I624" s="17"/>
    </row>
    <row r="625" spans="9:9" ht="13.2">
      <c r="I625" s="17"/>
    </row>
    <row r="626" spans="9:9" ht="13.2">
      <c r="I626" s="17"/>
    </row>
    <row r="627" spans="9:9" ht="13.2">
      <c r="I627" s="17"/>
    </row>
    <row r="628" spans="9:9" ht="13.2">
      <c r="I628" s="17"/>
    </row>
    <row r="629" spans="9:9" ht="13.2">
      <c r="I629" s="17"/>
    </row>
    <row r="630" spans="9:9" ht="13.2">
      <c r="I630" s="17"/>
    </row>
    <row r="631" spans="9:9" ht="13.2">
      <c r="I631" s="17"/>
    </row>
    <row r="632" spans="9:9" ht="13.2">
      <c r="I632" s="17"/>
    </row>
    <row r="633" spans="9:9" ht="13.2">
      <c r="I633" s="17"/>
    </row>
    <row r="634" spans="9:9" ht="13.2">
      <c r="I634" s="17"/>
    </row>
    <row r="635" spans="9:9" ht="13.2">
      <c r="I635" s="17"/>
    </row>
    <row r="636" spans="9:9" ht="13.2">
      <c r="I636" s="17"/>
    </row>
    <row r="637" spans="9:9" ht="13.2">
      <c r="I637" s="17"/>
    </row>
    <row r="638" spans="9:9" ht="13.2">
      <c r="I638" s="17"/>
    </row>
    <row r="639" spans="9:9" ht="13.2">
      <c r="I639" s="17"/>
    </row>
    <row r="640" spans="9:9" ht="13.2">
      <c r="I640" s="17"/>
    </row>
    <row r="641" spans="9:9" ht="13.2">
      <c r="I641" s="17"/>
    </row>
    <row r="642" spans="9:9" ht="13.2">
      <c r="I642" s="17"/>
    </row>
    <row r="643" spans="9:9" ht="13.2">
      <c r="I643" s="17"/>
    </row>
    <row r="644" spans="9:9" ht="13.2">
      <c r="I644" s="17"/>
    </row>
    <row r="645" spans="9:9" ht="13.2">
      <c r="I645" s="17"/>
    </row>
    <row r="646" spans="9:9" ht="13.2">
      <c r="I646" s="17"/>
    </row>
    <row r="647" spans="9:9" ht="13.2">
      <c r="I647" s="17"/>
    </row>
    <row r="648" spans="9:9" ht="13.2">
      <c r="I648" s="17"/>
    </row>
    <row r="649" spans="9:9" ht="13.2">
      <c r="I649" s="17"/>
    </row>
    <row r="650" spans="9:9" ht="13.2">
      <c r="I650" s="17"/>
    </row>
    <row r="651" spans="9:9" ht="13.2">
      <c r="I651" s="17"/>
    </row>
    <row r="652" spans="9:9" ht="13.2">
      <c r="I652" s="17"/>
    </row>
    <row r="653" spans="9:9" ht="13.2">
      <c r="I653" s="17"/>
    </row>
    <row r="654" spans="9:9" ht="13.2">
      <c r="I654" s="17"/>
    </row>
    <row r="655" spans="9:9" ht="13.2">
      <c r="I655" s="17"/>
    </row>
    <row r="656" spans="9:9" ht="13.2">
      <c r="I656" s="17"/>
    </row>
    <row r="657" spans="9:9" ht="13.2">
      <c r="I657" s="17"/>
    </row>
    <row r="658" spans="9:9" ht="13.2">
      <c r="I658" s="17"/>
    </row>
    <row r="659" spans="9:9" ht="13.2">
      <c r="I659" s="17"/>
    </row>
    <row r="660" spans="9:9" ht="13.2">
      <c r="I660" s="17"/>
    </row>
    <row r="661" spans="9:9" ht="13.2">
      <c r="I661" s="17"/>
    </row>
    <row r="662" spans="9:9" ht="13.2">
      <c r="I662" s="17"/>
    </row>
    <row r="663" spans="9:9" ht="13.2">
      <c r="I663" s="17"/>
    </row>
    <row r="664" spans="9:9" ht="13.2">
      <c r="I664" s="17"/>
    </row>
    <row r="665" spans="9:9" ht="13.2">
      <c r="I665" s="17"/>
    </row>
    <row r="666" spans="9:9" ht="13.2">
      <c r="I666" s="17"/>
    </row>
    <row r="667" spans="9:9" ht="13.2">
      <c r="I667" s="17"/>
    </row>
    <row r="668" spans="9:9" ht="13.2">
      <c r="I668" s="17"/>
    </row>
    <row r="669" spans="9:9" ht="13.2">
      <c r="I669" s="17"/>
    </row>
    <row r="670" spans="9:9" ht="13.2">
      <c r="I670" s="17"/>
    </row>
    <row r="671" spans="9:9" ht="13.2">
      <c r="I671" s="17"/>
    </row>
    <row r="672" spans="9:9" ht="13.2">
      <c r="I672" s="17"/>
    </row>
    <row r="673" spans="9:9" ht="13.2">
      <c r="I673" s="17"/>
    </row>
    <row r="674" spans="9:9" ht="13.2">
      <c r="I674" s="17"/>
    </row>
    <row r="675" spans="9:9" ht="13.2">
      <c r="I675" s="17"/>
    </row>
    <row r="676" spans="9:9" ht="13.2">
      <c r="I676" s="17"/>
    </row>
    <row r="677" spans="9:9" ht="13.2">
      <c r="I677" s="17"/>
    </row>
    <row r="678" spans="9:9" ht="13.2">
      <c r="I678" s="17"/>
    </row>
    <row r="679" spans="9:9" ht="13.2">
      <c r="I679" s="17"/>
    </row>
    <row r="680" spans="9:9" ht="13.2">
      <c r="I680" s="17"/>
    </row>
    <row r="681" spans="9:9" ht="13.2">
      <c r="I681" s="17"/>
    </row>
    <row r="682" spans="9:9" ht="13.2">
      <c r="I682" s="17"/>
    </row>
    <row r="683" spans="9:9" ht="13.2">
      <c r="I683" s="17"/>
    </row>
    <row r="684" spans="9:9" ht="13.2">
      <c r="I684" s="17"/>
    </row>
    <row r="685" spans="9:9" ht="13.2">
      <c r="I685" s="17"/>
    </row>
    <row r="686" spans="9:9" ht="13.2">
      <c r="I686" s="17"/>
    </row>
    <row r="687" spans="9:9" ht="13.2">
      <c r="I687" s="17"/>
    </row>
    <row r="688" spans="9:9" ht="13.2">
      <c r="I688" s="17"/>
    </row>
    <row r="689" spans="9:9" ht="13.2">
      <c r="I689" s="17"/>
    </row>
    <row r="690" spans="9:9" ht="13.2">
      <c r="I690" s="17"/>
    </row>
    <row r="691" spans="9:9" ht="13.2">
      <c r="I691" s="17"/>
    </row>
    <row r="692" spans="9:9" ht="13.2">
      <c r="I692" s="17"/>
    </row>
    <row r="693" spans="9:9" ht="13.2">
      <c r="I693" s="17"/>
    </row>
    <row r="694" spans="9:9" ht="13.2">
      <c r="I694" s="17"/>
    </row>
    <row r="695" spans="9:9" ht="13.2">
      <c r="I695" s="17"/>
    </row>
    <row r="696" spans="9:9" ht="13.2">
      <c r="I696" s="17"/>
    </row>
    <row r="697" spans="9:9" ht="13.2">
      <c r="I697" s="17"/>
    </row>
    <row r="698" spans="9:9" ht="13.2">
      <c r="I698" s="17"/>
    </row>
    <row r="699" spans="9:9" ht="13.2">
      <c r="I699" s="17"/>
    </row>
    <row r="700" spans="9:9" ht="13.2">
      <c r="I700" s="17"/>
    </row>
    <row r="701" spans="9:9" ht="13.2">
      <c r="I701" s="17"/>
    </row>
    <row r="702" spans="9:9" ht="13.2">
      <c r="I702" s="17"/>
    </row>
    <row r="703" spans="9:9" ht="13.2">
      <c r="I703" s="17"/>
    </row>
    <row r="704" spans="9:9" ht="13.2">
      <c r="I704" s="17"/>
    </row>
    <row r="705" spans="9:9" ht="13.2">
      <c r="I705" s="17"/>
    </row>
    <row r="706" spans="9:9" ht="13.2">
      <c r="I706" s="17"/>
    </row>
    <row r="707" spans="9:9" ht="13.2">
      <c r="I707" s="17"/>
    </row>
    <row r="708" spans="9:9" ht="13.2">
      <c r="I708" s="17"/>
    </row>
    <row r="709" spans="9:9" ht="13.2">
      <c r="I709" s="17"/>
    </row>
    <row r="710" spans="9:9" ht="13.2">
      <c r="I710" s="17"/>
    </row>
    <row r="711" spans="9:9" ht="13.2">
      <c r="I711" s="17"/>
    </row>
    <row r="712" spans="9:9" ht="13.2">
      <c r="I712" s="17"/>
    </row>
    <row r="713" spans="9:9" ht="13.2">
      <c r="I713" s="17"/>
    </row>
    <row r="714" spans="9:9" ht="13.2">
      <c r="I714" s="17"/>
    </row>
    <row r="715" spans="9:9" ht="13.2">
      <c r="I715" s="17"/>
    </row>
    <row r="716" spans="9:9" ht="13.2">
      <c r="I716" s="17"/>
    </row>
    <row r="717" spans="9:9" ht="13.2">
      <c r="I717" s="17"/>
    </row>
    <row r="718" spans="9:9" ht="13.2">
      <c r="I718" s="17"/>
    </row>
    <row r="719" spans="9:9" ht="13.2">
      <c r="I719" s="17"/>
    </row>
    <row r="720" spans="9:9" ht="13.2">
      <c r="I720" s="17"/>
    </row>
    <row r="721" spans="9:9" ht="13.2">
      <c r="I721" s="17"/>
    </row>
    <row r="722" spans="9:9" ht="13.2">
      <c r="I722" s="17"/>
    </row>
    <row r="723" spans="9:9" ht="13.2">
      <c r="I723" s="17"/>
    </row>
    <row r="724" spans="9:9" ht="13.2">
      <c r="I724" s="17"/>
    </row>
    <row r="725" spans="9:9" ht="13.2">
      <c r="I725" s="17"/>
    </row>
    <row r="726" spans="9:9" ht="13.2">
      <c r="I726" s="17"/>
    </row>
    <row r="727" spans="9:9" ht="13.2">
      <c r="I727" s="17"/>
    </row>
    <row r="728" spans="9:9" ht="13.2">
      <c r="I728" s="17"/>
    </row>
    <row r="729" spans="9:9" ht="13.2">
      <c r="I729" s="17"/>
    </row>
    <row r="730" spans="9:9" ht="13.2">
      <c r="I730" s="17"/>
    </row>
    <row r="731" spans="9:9" ht="13.2">
      <c r="I731" s="17"/>
    </row>
    <row r="732" spans="9:9" ht="13.2">
      <c r="I732" s="17"/>
    </row>
    <row r="733" spans="9:9" ht="13.2">
      <c r="I733" s="17"/>
    </row>
    <row r="734" spans="9:9" ht="13.2">
      <c r="I734" s="17"/>
    </row>
    <row r="735" spans="9:9" ht="13.2">
      <c r="I735" s="17"/>
    </row>
    <row r="736" spans="9:9" ht="13.2">
      <c r="I736" s="17"/>
    </row>
    <row r="737" spans="9:9" ht="13.2">
      <c r="I737" s="17"/>
    </row>
    <row r="738" spans="9:9" ht="13.2">
      <c r="I738" s="17"/>
    </row>
    <row r="739" spans="9:9" ht="13.2">
      <c r="I739" s="17"/>
    </row>
    <row r="740" spans="9:9" ht="13.2">
      <c r="I740" s="17"/>
    </row>
    <row r="741" spans="9:9" ht="13.2">
      <c r="I741" s="17"/>
    </row>
    <row r="742" spans="9:9" ht="13.2">
      <c r="I742" s="17"/>
    </row>
    <row r="743" spans="9:9" ht="13.2">
      <c r="I743" s="17"/>
    </row>
    <row r="744" spans="9:9" ht="13.2">
      <c r="I744" s="17"/>
    </row>
    <row r="745" spans="9:9" ht="13.2">
      <c r="I745" s="17"/>
    </row>
    <row r="746" spans="9:9" ht="13.2">
      <c r="I746" s="17"/>
    </row>
    <row r="747" spans="9:9" ht="13.2">
      <c r="I747" s="17"/>
    </row>
    <row r="748" spans="9:9" ht="13.2">
      <c r="I748" s="17"/>
    </row>
    <row r="749" spans="9:9" ht="13.2">
      <c r="I749" s="17"/>
    </row>
    <row r="750" spans="9:9" ht="13.2">
      <c r="I750" s="17"/>
    </row>
    <row r="751" spans="9:9" ht="13.2">
      <c r="I751" s="17"/>
    </row>
    <row r="752" spans="9:9" ht="13.2">
      <c r="I752" s="17"/>
    </row>
    <row r="753" spans="9:9" ht="13.2">
      <c r="I753" s="17"/>
    </row>
    <row r="754" spans="9:9" ht="13.2">
      <c r="I754" s="17"/>
    </row>
    <row r="755" spans="9:9" ht="13.2">
      <c r="I755" s="17"/>
    </row>
    <row r="756" spans="9:9" ht="13.2">
      <c r="I756" s="17"/>
    </row>
    <row r="757" spans="9:9" ht="13.2">
      <c r="I757" s="17"/>
    </row>
    <row r="758" spans="9:9" ht="13.2">
      <c r="I758" s="17"/>
    </row>
    <row r="759" spans="9:9" ht="13.2">
      <c r="I759" s="17"/>
    </row>
    <row r="760" spans="9:9" ht="13.2">
      <c r="I760" s="17"/>
    </row>
    <row r="761" spans="9:9" ht="13.2">
      <c r="I761" s="17"/>
    </row>
    <row r="762" spans="9:9" ht="13.2">
      <c r="I762" s="17"/>
    </row>
    <row r="763" spans="9:9" ht="13.2">
      <c r="I763" s="17"/>
    </row>
    <row r="764" spans="9:9" ht="13.2">
      <c r="I764" s="17"/>
    </row>
    <row r="765" spans="9:9" ht="13.2">
      <c r="I765" s="17"/>
    </row>
    <row r="766" spans="9:9" ht="13.2">
      <c r="I766" s="17"/>
    </row>
    <row r="767" spans="9:9" ht="13.2">
      <c r="I767" s="17"/>
    </row>
    <row r="768" spans="9:9" ht="13.2">
      <c r="I768" s="17"/>
    </row>
    <row r="769" spans="9:9" ht="13.2">
      <c r="I769" s="17"/>
    </row>
    <row r="770" spans="9:9" ht="13.2">
      <c r="I770" s="17"/>
    </row>
    <row r="771" spans="9:9" ht="13.2">
      <c r="I771" s="17"/>
    </row>
    <row r="772" spans="9:9" ht="13.2">
      <c r="I772" s="17"/>
    </row>
    <row r="773" spans="9:9" ht="13.2">
      <c r="I773" s="17"/>
    </row>
    <row r="774" spans="9:9" ht="13.2">
      <c r="I774" s="17"/>
    </row>
    <row r="775" spans="9:9" ht="13.2">
      <c r="I775" s="17"/>
    </row>
    <row r="776" spans="9:9" ht="13.2">
      <c r="I776" s="17"/>
    </row>
    <row r="777" spans="9:9" ht="13.2">
      <c r="I777" s="17"/>
    </row>
    <row r="778" spans="9:9" ht="13.2">
      <c r="I778" s="17"/>
    </row>
    <row r="779" spans="9:9" ht="13.2">
      <c r="I779" s="17"/>
    </row>
    <row r="780" spans="9:9" ht="13.2">
      <c r="I780" s="17"/>
    </row>
    <row r="781" spans="9:9" ht="13.2">
      <c r="I781" s="17"/>
    </row>
    <row r="782" spans="9:9" ht="13.2">
      <c r="I782" s="17"/>
    </row>
    <row r="783" spans="9:9" ht="13.2">
      <c r="I783" s="17"/>
    </row>
    <row r="784" spans="9:9" ht="13.2">
      <c r="I784" s="17"/>
    </row>
    <row r="785" spans="9:9" ht="13.2">
      <c r="I785" s="17"/>
    </row>
    <row r="786" spans="9:9" ht="13.2">
      <c r="I786" s="17"/>
    </row>
    <row r="787" spans="9:9" ht="13.2">
      <c r="I787" s="17"/>
    </row>
    <row r="788" spans="9:9" ht="13.2">
      <c r="I788" s="17"/>
    </row>
    <row r="789" spans="9:9" ht="13.2">
      <c r="I789" s="17"/>
    </row>
    <row r="790" spans="9:9" ht="13.2">
      <c r="I790" s="17"/>
    </row>
    <row r="791" spans="9:9" ht="13.2">
      <c r="I791" s="17"/>
    </row>
    <row r="792" spans="9:9" ht="13.2">
      <c r="I792" s="17"/>
    </row>
    <row r="793" spans="9:9" ht="13.2">
      <c r="I793" s="17"/>
    </row>
    <row r="794" spans="9:9" ht="13.2">
      <c r="I794" s="17"/>
    </row>
    <row r="795" spans="9:9" ht="13.2">
      <c r="I795" s="17"/>
    </row>
    <row r="796" spans="9:9" ht="13.2">
      <c r="I796" s="17"/>
    </row>
    <row r="797" spans="9:9" ht="13.2">
      <c r="I797" s="17"/>
    </row>
    <row r="798" spans="9:9" ht="13.2">
      <c r="I798" s="17"/>
    </row>
    <row r="799" spans="9:9" ht="13.2">
      <c r="I799" s="17"/>
    </row>
    <row r="800" spans="9:9" ht="13.2">
      <c r="I800" s="17"/>
    </row>
    <row r="801" spans="9:9" ht="13.2">
      <c r="I801" s="17"/>
    </row>
    <row r="802" spans="9:9" ht="13.2">
      <c r="I802" s="17"/>
    </row>
    <row r="803" spans="9:9" ht="13.2">
      <c r="I803" s="17"/>
    </row>
    <row r="804" spans="9:9" ht="13.2">
      <c r="I804" s="17"/>
    </row>
    <row r="805" spans="9:9" ht="13.2">
      <c r="I805" s="17"/>
    </row>
    <row r="806" spans="9:9" ht="13.2">
      <c r="I806" s="17"/>
    </row>
    <row r="807" spans="9:9" ht="13.2">
      <c r="I807" s="17"/>
    </row>
    <row r="808" spans="9:9" ht="13.2">
      <c r="I808" s="17"/>
    </row>
    <row r="809" spans="9:9" ht="13.2">
      <c r="I809" s="17"/>
    </row>
    <row r="810" spans="9:9" ht="13.2">
      <c r="I810" s="17"/>
    </row>
    <row r="811" spans="9:9" ht="13.2">
      <c r="I811" s="17"/>
    </row>
    <row r="812" spans="9:9" ht="13.2">
      <c r="I812" s="17"/>
    </row>
    <row r="813" spans="9:9" ht="13.2">
      <c r="I813" s="17"/>
    </row>
    <row r="814" spans="9:9" ht="13.2">
      <c r="I814" s="17"/>
    </row>
    <row r="815" spans="9:9" ht="13.2">
      <c r="I815" s="17"/>
    </row>
    <row r="816" spans="9:9" ht="13.2">
      <c r="I816" s="17"/>
    </row>
    <row r="817" spans="9:9" ht="13.2">
      <c r="I817" s="17"/>
    </row>
    <row r="818" spans="9:9" ht="13.2">
      <c r="I818" s="17"/>
    </row>
    <row r="819" spans="9:9" ht="13.2">
      <c r="I819" s="17"/>
    </row>
    <row r="820" spans="9:9" ht="13.2">
      <c r="I820" s="17"/>
    </row>
    <row r="821" spans="9:9" ht="13.2">
      <c r="I821" s="17"/>
    </row>
    <row r="822" spans="9:9" ht="13.2">
      <c r="I822" s="17"/>
    </row>
    <row r="823" spans="9:9" ht="13.2">
      <c r="I823" s="17"/>
    </row>
    <row r="824" spans="9:9" ht="13.2">
      <c r="I824" s="17"/>
    </row>
    <row r="825" spans="9:9" ht="13.2">
      <c r="I825" s="17"/>
    </row>
    <row r="826" spans="9:9" ht="13.2">
      <c r="I826" s="17"/>
    </row>
    <row r="827" spans="9:9" ht="13.2">
      <c r="I827" s="17"/>
    </row>
    <row r="828" spans="9:9" ht="13.2">
      <c r="I828" s="17"/>
    </row>
    <row r="829" spans="9:9" ht="13.2">
      <c r="I829" s="17"/>
    </row>
    <row r="830" spans="9:9" ht="13.2">
      <c r="I830" s="17"/>
    </row>
    <row r="831" spans="9:9" ht="13.2">
      <c r="I831" s="17"/>
    </row>
    <row r="832" spans="9:9" ht="13.2">
      <c r="I832" s="17"/>
    </row>
    <row r="833" spans="9:9" ht="13.2">
      <c r="I833" s="17"/>
    </row>
    <row r="834" spans="9:9" ht="13.2">
      <c r="I834" s="17"/>
    </row>
    <row r="835" spans="9:9" ht="13.2">
      <c r="I835" s="17"/>
    </row>
    <row r="836" spans="9:9" ht="13.2">
      <c r="I836" s="17"/>
    </row>
    <row r="837" spans="9:9" ht="13.2">
      <c r="I837" s="17"/>
    </row>
    <row r="838" spans="9:9" ht="13.2">
      <c r="I838" s="17"/>
    </row>
    <row r="839" spans="9:9" ht="13.2">
      <c r="I839" s="17"/>
    </row>
    <row r="840" spans="9:9" ht="13.2">
      <c r="I840" s="17"/>
    </row>
    <row r="841" spans="9:9" ht="13.2">
      <c r="I841" s="17"/>
    </row>
    <row r="842" spans="9:9" ht="13.2">
      <c r="I842" s="17"/>
    </row>
    <row r="843" spans="9:9" ht="13.2">
      <c r="I843" s="17"/>
    </row>
    <row r="844" spans="9:9" ht="13.2">
      <c r="I844" s="17"/>
    </row>
    <row r="845" spans="9:9" ht="13.2">
      <c r="I845" s="17"/>
    </row>
    <row r="846" spans="9:9" ht="13.2">
      <c r="I846" s="17"/>
    </row>
    <row r="847" spans="9:9" ht="13.2">
      <c r="I847" s="17"/>
    </row>
    <row r="848" spans="9:9" ht="13.2">
      <c r="I848" s="17"/>
    </row>
    <row r="849" spans="9:9" ht="13.2">
      <c r="I849" s="17"/>
    </row>
    <row r="850" spans="9:9" ht="13.2">
      <c r="I850" s="17"/>
    </row>
    <row r="851" spans="9:9" ht="13.2">
      <c r="I851" s="17"/>
    </row>
    <row r="852" spans="9:9" ht="13.2">
      <c r="I852" s="17"/>
    </row>
    <row r="853" spans="9:9" ht="13.2">
      <c r="I853" s="17"/>
    </row>
    <row r="854" spans="9:9" ht="13.2">
      <c r="I854" s="17"/>
    </row>
    <row r="855" spans="9:9" ht="13.2">
      <c r="I855" s="17"/>
    </row>
    <row r="856" spans="9:9" ht="13.2">
      <c r="I856" s="17"/>
    </row>
    <row r="857" spans="9:9" ht="13.2">
      <c r="I857" s="17"/>
    </row>
    <row r="858" spans="9:9" ht="13.2">
      <c r="I858" s="17"/>
    </row>
    <row r="859" spans="9:9" ht="13.2">
      <c r="I859" s="17"/>
    </row>
    <row r="860" spans="9:9" ht="13.2">
      <c r="I860" s="17"/>
    </row>
    <row r="861" spans="9:9" ht="13.2">
      <c r="I861" s="17"/>
    </row>
    <row r="862" spans="9:9" ht="13.2">
      <c r="I862" s="17"/>
    </row>
    <row r="863" spans="9:9" ht="13.2">
      <c r="I863" s="17"/>
    </row>
    <row r="864" spans="9:9" ht="13.2">
      <c r="I864" s="17"/>
    </row>
    <row r="865" spans="9:9" ht="13.2">
      <c r="I865" s="17"/>
    </row>
    <row r="866" spans="9:9" ht="13.2">
      <c r="I866" s="17"/>
    </row>
    <row r="867" spans="9:9" ht="13.2">
      <c r="I867" s="17"/>
    </row>
    <row r="868" spans="9:9" ht="13.2">
      <c r="I868" s="17"/>
    </row>
    <row r="869" spans="9:9" ht="13.2">
      <c r="I869" s="17"/>
    </row>
    <row r="870" spans="9:9" ht="13.2">
      <c r="I870" s="17"/>
    </row>
    <row r="871" spans="9:9" ht="13.2">
      <c r="I871" s="17"/>
    </row>
    <row r="872" spans="9:9" ht="13.2">
      <c r="I872" s="17"/>
    </row>
    <row r="873" spans="9:9" ht="13.2">
      <c r="I873" s="17"/>
    </row>
    <row r="874" spans="9:9" ht="13.2">
      <c r="I874" s="17"/>
    </row>
    <row r="875" spans="9:9" ht="13.2">
      <c r="I875" s="17"/>
    </row>
    <row r="876" spans="9:9" ht="13.2">
      <c r="I876" s="17"/>
    </row>
    <row r="877" spans="9:9" ht="13.2">
      <c r="I877" s="17"/>
    </row>
    <row r="878" spans="9:9" ht="13.2">
      <c r="I878" s="17"/>
    </row>
    <row r="879" spans="9:9" ht="13.2">
      <c r="I879" s="17"/>
    </row>
    <row r="880" spans="9:9" ht="13.2">
      <c r="I880" s="17"/>
    </row>
    <row r="881" spans="9:9" ht="13.2">
      <c r="I881" s="17"/>
    </row>
    <row r="882" spans="9:9" ht="13.2">
      <c r="I882" s="17"/>
    </row>
    <row r="883" spans="9:9" ht="13.2">
      <c r="I883" s="17"/>
    </row>
    <row r="884" spans="9:9" ht="13.2">
      <c r="I884" s="17"/>
    </row>
    <row r="885" spans="9:9" ht="13.2">
      <c r="I885" s="17"/>
    </row>
    <row r="886" spans="9:9" ht="13.2">
      <c r="I886" s="17"/>
    </row>
    <row r="887" spans="9:9" ht="13.2">
      <c r="I887" s="17"/>
    </row>
    <row r="888" spans="9:9" ht="13.2">
      <c r="I888" s="17"/>
    </row>
    <row r="889" spans="9:9" ht="13.2">
      <c r="I889" s="17"/>
    </row>
    <row r="890" spans="9:9" ht="13.2">
      <c r="I890" s="17"/>
    </row>
    <row r="891" spans="9:9" ht="13.2">
      <c r="I891" s="17"/>
    </row>
    <row r="892" spans="9:9" ht="13.2">
      <c r="I892" s="17"/>
    </row>
    <row r="893" spans="9:9" ht="13.2">
      <c r="I893" s="17"/>
    </row>
    <row r="894" spans="9:9" ht="13.2">
      <c r="I894" s="17"/>
    </row>
    <row r="895" spans="9:9" ht="13.2">
      <c r="I895" s="17"/>
    </row>
    <row r="896" spans="9:9" ht="13.2">
      <c r="I896" s="17"/>
    </row>
    <row r="897" spans="9:9" ht="13.2">
      <c r="I897" s="17"/>
    </row>
    <row r="898" spans="9:9" ht="13.2">
      <c r="I898" s="17"/>
    </row>
    <row r="899" spans="9:9" ht="13.2">
      <c r="I899" s="17"/>
    </row>
    <row r="900" spans="9:9" ht="13.2">
      <c r="I900" s="17"/>
    </row>
    <row r="901" spans="9:9" ht="13.2">
      <c r="I901" s="17"/>
    </row>
    <row r="902" spans="9:9" ht="13.2">
      <c r="I902" s="17"/>
    </row>
    <row r="903" spans="9:9" ht="13.2">
      <c r="I903" s="17"/>
    </row>
    <row r="904" spans="9:9" ht="13.2">
      <c r="I904" s="17"/>
    </row>
    <row r="905" spans="9:9" ht="13.2">
      <c r="I905" s="17"/>
    </row>
    <row r="906" spans="9:9" ht="13.2">
      <c r="I906" s="17"/>
    </row>
    <row r="907" spans="9:9" ht="13.2">
      <c r="I907" s="17"/>
    </row>
    <row r="908" spans="9:9" ht="13.2">
      <c r="I908" s="17"/>
    </row>
    <row r="909" spans="9:9" ht="13.2">
      <c r="I909" s="17"/>
    </row>
    <row r="910" spans="9:9" ht="13.2">
      <c r="I910" s="17"/>
    </row>
    <row r="911" spans="9:9" ht="13.2">
      <c r="I911" s="17"/>
    </row>
    <row r="912" spans="9:9" ht="13.2">
      <c r="I912" s="17"/>
    </row>
    <row r="913" spans="9:9" ht="13.2">
      <c r="I913" s="17"/>
    </row>
    <row r="914" spans="9:9" ht="13.2">
      <c r="I914" s="17"/>
    </row>
    <row r="915" spans="9:9" ht="13.2">
      <c r="I915" s="17"/>
    </row>
    <row r="916" spans="9:9" ht="13.2">
      <c r="I916" s="17"/>
    </row>
    <row r="917" spans="9:9" ht="13.2">
      <c r="I917" s="17"/>
    </row>
    <row r="918" spans="9:9" ht="13.2">
      <c r="I918" s="17"/>
    </row>
    <row r="919" spans="9:9" ht="13.2">
      <c r="I919" s="17"/>
    </row>
    <row r="920" spans="9:9" ht="13.2">
      <c r="I920" s="17"/>
    </row>
    <row r="921" spans="9:9" ht="13.2">
      <c r="I921" s="17"/>
    </row>
    <row r="922" spans="9:9" ht="13.2">
      <c r="I922" s="17"/>
    </row>
    <row r="923" spans="9:9" ht="13.2">
      <c r="I923" s="17"/>
    </row>
    <row r="924" spans="9:9" ht="13.2">
      <c r="I924" s="17"/>
    </row>
    <row r="925" spans="9:9" ht="13.2">
      <c r="I925" s="17"/>
    </row>
    <row r="926" spans="9:9" ht="13.2">
      <c r="I926" s="17"/>
    </row>
    <row r="927" spans="9:9" ht="13.2">
      <c r="I927" s="17"/>
    </row>
    <row r="928" spans="9:9" ht="13.2">
      <c r="I928" s="17"/>
    </row>
    <row r="929" spans="9:9" ht="13.2">
      <c r="I929" s="17"/>
    </row>
    <row r="930" spans="9:9" ht="13.2">
      <c r="I930" s="17"/>
    </row>
    <row r="931" spans="9:9" ht="13.2">
      <c r="I931" s="17"/>
    </row>
    <row r="932" spans="9:9" ht="13.2">
      <c r="I932" s="17"/>
    </row>
  </sheetData>
  <dataValidations count="2">
    <dataValidation type="custom" allowBlank="1" showDropDown="1" sqref="J3:J77 L3:L77" xr:uid="{00000000-0002-0000-0100-000000000000}">
      <formula1>OR(NOT(ISERROR(DATEVALUE(J3))), AND(ISNUMBER(J3), LEFT(CELL("format", J3))="D"))</formula1>
    </dataValidation>
    <dataValidation type="custom" allowBlank="1" showDropDown="1" sqref="I3:I77" xr:uid="{00000000-0002-0000-0100-000001000000}">
      <formula1>AND(ISNUMBER(I3),(NOT(OR(NOT(ISERROR(DATEVALUE(I3))), AND(ISNUMBER(I3), LEFT(CELL("format", I3))="D")))))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6"/>
  <sheetViews>
    <sheetView workbookViewId="0"/>
  </sheetViews>
  <sheetFormatPr defaultColWidth="12.6640625" defaultRowHeight="15.75" customHeight="1"/>
  <cols>
    <col min="7" max="7" width="19.77734375" customWidth="1"/>
    <col min="8" max="8" width="36" customWidth="1"/>
  </cols>
  <sheetData>
    <row r="1" spans="1:11" ht="22.5" customHeight="1">
      <c r="A1" s="18" t="s">
        <v>0</v>
      </c>
      <c r="B1" s="19" t="s">
        <v>1</v>
      </c>
      <c r="C1" s="19" t="s">
        <v>2</v>
      </c>
      <c r="D1" s="18" t="s">
        <v>3</v>
      </c>
      <c r="E1" s="18" t="s">
        <v>5</v>
      </c>
      <c r="F1" s="18" t="s">
        <v>6</v>
      </c>
      <c r="G1" s="18" t="s">
        <v>7</v>
      </c>
      <c r="H1" s="18" t="s">
        <v>8</v>
      </c>
      <c r="I1" s="20" t="s">
        <v>9</v>
      </c>
      <c r="J1" s="18" t="s">
        <v>10</v>
      </c>
      <c r="K1" s="18" t="s">
        <v>11</v>
      </c>
    </row>
    <row r="2" spans="1:11" ht="22.5" customHeight="1">
      <c r="A2" s="29">
        <v>1</v>
      </c>
      <c r="B2" s="29" t="s">
        <v>403</v>
      </c>
      <c r="C2" s="29" t="s">
        <v>404</v>
      </c>
      <c r="D2" s="29" t="s">
        <v>405</v>
      </c>
      <c r="E2" s="29" t="s">
        <v>406</v>
      </c>
      <c r="F2" s="29" t="s">
        <v>407</v>
      </c>
      <c r="G2" s="29" t="s">
        <v>147</v>
      </c>
      <c r="H2" s="29" t="s">
        <v>408</v>
      </c>
      <c r="I2" s="29">
        <v>90</v>
      </c>
      <c r="J2" s="29" t="s">
        <v>409</v>
      </c>
      <c r="K2" s="29" t="s">
        <v>410</v>
      </c>
    </row>
    <row r="3" spans="1:11" ht="22.5" customHeight="1">
      <c r="A3" s="29">
        <v>2</v>
      </c>
      <c r="B3" s="29" t="s">
        <v>403</v>
      </c>
      <c r="C3" s="29" t="s">
        <v>404</v>
      </c>
      <c r="D3" s="29" t="s">
        <v>411</v>
      </c>
      <c r="E3" s="29" t="s">
        <v>406</v>
      </c>
      <c r="F3" s="29" t="s">
        <v>407</v>
      </c>
      <c r="G3" s="29" t="s">
        <v>91</v>
      </c>
      <c r="H3" s="29" t="s">
        <v>412</v>
      </c>
      <c r="I3" s="29">
        <v>90</v>
      </c>
      <c r="J3" s="29" t="s">
        <v>413</v>
      </c>
      <c r="K3" s="29" t="s">
        <v>414</v>
      </c>
    </row>
    <row r="4" spans="1:11" ht="22.5" customHeight="1">
      <c r="A4" s="29">
        <v>3</v>
      </c>
      <c r="B4" s="29" t="s">
        <v>403</v>
      </c>
      <c r="C4" s="29" t="s">
        <v>404</v>
      </c>
      <c r="D4" s="29" t="s">
        <v>415</v>
      </c>
      <c r="E4" s="29" t="s">
        <v>406</v>
      </c>
      <c r="F4" s="29" t="s">
        <v>407</v>
      </c>
      <c r="G4" s="29" t="s">
        <v>416</v>
      </c>
      <c r="H4" s="29" t="s">
        <v>417</v>
      </c>
      <c r="I4" s="29">
        <v>90</v>
      </c>
      <c r="J4" s="29" t="s">
        <v>409</v>
      </c>
      <c r="K4" s="29" t="s">
        <v>410</v>
      </c>
    </row>
    <row r="5" spans="1:11" ht="22.5" customHeight="1">
      <c r="A5" s="29">
        <v>4</v>
      </c>
      <c r="B5" s="29" t="s">
        <v>403</v>
      </c>
      <c r="C5" s="29" t="s">
        <v>404</v>
      </c>
      <c r="D5" s="29" t="s">
        <v>415</v>
      </c>
      <c r="E5" s="29" t="s">
        <v>406</v>
      </c>
      <c r="F5" s="29" t="s">
        <v>407</v>
      </c>
      <c r="G5" s="29" t="s">
        <v>416</v>
      </c>
      <c r="H5" s="29" t="s">
        <v>418</v>
      </c>
      <c r="I5" s="29">
        <v>90</v>
      </c>
      <c r="J5" s="29" t="s">
        <v>419</v>
      </c>
      <c r="K5" s="29" t="s">
        <v>420</v>
      </c>
    </row>
    <row r="6" spans="1:11" ht="22.5" customHeight="1">
      <c r="A6" s="29">
        <v>5</v>
      </c>
      <c r="B6" s="29" t="s">
        <v>403</v>
      </c>
      <c r="C6" s="29" t="s">
        <v>404</v>
      </c>
      <c r="D6" s="29" t="s">
        <v>421</v>
      </c>
      <c r="E6" s="29" t="s">
        <v>406</v>
      </c>
      <c r="F6" s="29" t="s">
        <v>407</v>
      </c>
      <c r="G6" s="29" t="s">
        <v>91</v>
      </c>
      <c r="H6" s="29" t="s">
        <v>422</v>
      </c>
      <c r="I6" s="29">
        <v>30</v>
      </c>
      <c r="J6" s="29" t="s">
        <v>423</v>
      </c>
      <c r="K6" s="29" t="s">
        <v>424</v>
      </c>
    </row>
    <row r="7" spans="1:11" ht="22.5" customHeight="1">
      <c r="A7" s="29">
        <v>6</v>
      </c>
      <c r="B7" s="29" t="s">
        <v>403</v>
      </c>
      <c r="C7" s="29" t="s">
        <v>404</v>
      </c>
      <c r="D7" s="29" t="s">
        <v>425</v>
      </c>
      <c r="E7" s="29" t="s">
        <v>406</v>
      </c>
      <c r="F7" s="29" t="s">
        <v>426</v>
      </c>
      <c r="G7" s="29" t="s">
        <v>71</v>
      </c>
      <c r="H7" s="29" t="s">
        <v>427</v>
      </c>
      <c r="I7" s="29">
        <v>90</v>
      </c>
      <c r="J7" s="29" t="s">
        <v>409</v>
      </c>
      <c r="K7" s="29" t="s">
        <v>410</v>
      </c>
    </row>
    <row r="8" spans="1:11" ht="22.5" customHeight="1">
      <c r="A8" s="29">
        <v>7</v>
      </c>
      <c r="B8" s="29" t="s">
        <v>403</v>
      </c>
      <c r="C8" s="29" t="s">
        <v>404</v>
      </c>
      <c r="D8" s="29" t="s">
        <v>425</v>
      </c>
      <c r="E8" s="29" t="s">
        <v>406</v>
      </c>
      <c r="F8" s="29" t="s">
        <v>426</v>
      </c>
      <c r="G8" s="29" t="s">
        <v>71</v>
      </c>
      <c r="H8" s="29" t="s">
        <v>428</v>
      </c>
      <c r="I8" s="29">
        <v>90</v>
      </c>
      <c r="J8" s="29" t="s">
        <v>409</v>
      </c>
      <c r="K8" s="29" t="s">
        <v>410</v>
      </c>
    </row>
    <row r="9" spans="1:11" ht="22.5" customHeight="1">
      <c r="A9" s="29">
        <v>8</v>
      </c>
      <c r="B9" s="29" t="s">
        <v>403</v>
      </c>
      <c r="C9" s="29" t="s">
        <v>404</v>
      </c>
      <c r="D9" s="29" t="s">
        <v>429</v>
      </c>
      <c r="E9" s="29" t="s">
        <v>406</v>
      </c>
      <c r="F9" s="29" t="s">
        <v>430</v>
      </c>
      <c r="G9" s="29" t="s">
        <v>431</v>
      </c>
      <c r="H9" s="29" t="s">
        <v>432</v>
      </c>
      <c r="I9" s="29">
        <v>90</v>
      </c>
      <c r="J9" s="29" t="s">
        <v>409</v>
      </c>
      <c r="K9" s="29" t="s">
        <v>410</v>
      </c>
    </row>
    <row r="10" spans="1:11" ht="22.5" customHeight="1">
      <c r="A10" s="29">
        <v>9</v>
      </c>
      <c r="B10" s="29" t="s">
        <v>403</v>
      </c>
      <c r="C10" s="29" t="s">
        <v>404</v>
      </c>
      <c r="D10" s="29" t="s">
        <v>429</v>
      </c>
      <c r="E10" s="29" t="s">
        <v>406</v>
      </c>
      <c r="F10" s="29" t="s">
        <v>430</v>
      </c>
      <c r="G10" s="29" t="s">
        <v>431</v>
      </c>
      <c r="H10" s="29" t="s">
        <v>433</v>
      </c>
      <c r="I10" s="29">
        <v>90</v>
      </c>
      <c r="J10" s="29" t="s">
        <v>409</v>
      </c>
      <c r="K10" s="29" t="s">
        <v>410</v>
      </c>
    </row>
    <row r="11" spans="1:11" ht="22.5" customHeight="1">
      <c r="A11" s="29">
        <v>10</v>
      </c>
      <c r="B11" s="29" t="s">
        <v>403</v>
      </c>
      <c r="C11" s="29" t="s">
        <v>82</v>
      </c>
      <c r="D11" s="29" t="s">
        <v>429</v>
      </c>
      <c r="E11" s="29" t="s">
        <v>434</v>
      </c>
      <c r="F11" s="29" t="s">
        <v>435</v>
      </c>
      <c r="G11" s="29" t="s">
        <v>91</v>
      </c>
      <c r="H11" s="29" t="s">
        <v>436</v>
      </c>
      <c r="I11" s="29">
        <v>30</v>
      </c>
      <c r="J11" s="29" t="s">
        <v>413</v>
      </c>
      <c r="K11" s="29" t="s">
        <v>437</v>
      </c>
    </row>
    <row r="12" spans="1:11" ht="22.5" customHeight="1">
      <c r="A12" s="29">
        <v>11</v>
      </c>
      <c r="B12" s="29" t="s">
        <v>403</v>
      </c>
      <c r="C12" s="29" t="s">
        <v>82</v>
      </c>
      <c r="D12" s="29" t="s">
        <v>429</v>
      </c>
      <c r="E12" s="29" t="s">
        <v>434</v>
      </c>
      <c r="F12" s="29" t="s">
        <v>435</v>
      </c>
      <c r="G12" s="29" t="s">
        <v>438</v>
      </c>
      <c r="H12" s="29" t="s">
        <v>439</v>
      </c>
      <c r="I12" s="29">
        <v>30</v>
      </c>
      <c r="J12" s="29" t="s">
        <v>413</v>
      </c>
      <c r="K12" s="29" t="s">
        <v>437</v>
      </c>
    </row>
    <row r="13" spans="1:11" ht="22.5" customHeight="1">
      <c r="A13" s="29">
        <v>12</v>
      </c>
      <c r="B13" s="29" t="s">
        <v>403</v>
      </c>
      <c r="C13" s="29" t="s">
        <v>82</v>
      </c>
      <c r="D13" s="29" t="s">
        <v>429</v>
      </c>
      <c r="E13" s="29" t="s">
        <v>434</v>
      </c>
      <c r="F13" s="29" t="s">
        <v>435</v>
      </c>
      <c r="G13" s="29" t="s">
        <v>438</v>
      </c>
      <c r="H13" s="29" t="s">
        <v>440</v>
      </c>
      <c r="I13" s="29">
        <v>30</v>
      </c>
      <c r="J13" s="29" t="s">
        <v>413</v>
      </c>
      <c r="K13" s="29" t="s">
        <v>437</v>
      </c>
    </row>
    <row r="14" spans="1:11" ht="22.5" customHeight="1">
      <c r="A14" s="29">
        <v>13</v>
      </c>
      <c r="B14" s="29" t="s">
        <v>403</v>
      </c>
      <c r="C14" s="29" t="s">
        <v>82</v>
      </c>
      <c r="D14" s="29" t="s">
        <v>429</v>
      </c>
      <c r="E14" s="29" t="s">
        <v>434</v>
      </c>
      <c r="F14" s="29" t="s">
        <v>435</v>
      </c>
      <c r="G14" s="29" t="s">
        <v>91</v>
      </c>
      <c r="H14" s="29" t="s">
        <v>441</v>
      </c>
      <c r="I14" s="29">
        <v>30</v>
      </c>
      <c r="J14" s="29" t="s">
        <v>442</v>
      </c>
      <c r="K14" s="29" t="s">
        <v>443</v>
      </c>
    </row>
    <row r="15" spans="1:11" ht="22.5" customHeight="1">
      <c r="A15" s="29">
        <v>14</v>
      </c>
      <c r="B15" s="29" t="s">
        <v>403</v>
      </c>
      <c r="C15" s="29" t="s">
        <v>82</v>
      </c>
      <c r="D15" s="29" t="s">
        <v>429</v>
      </c>
      <c r="E15" s="29" t="s">
        <v>434</v>
      </c>
      <c r="F15" s="29" t="s">
        <v>444</v>
      </c>
      <c r="G15" s="29" t="s">
        <v>71</v>
      </c>
      <c r="H15" s="29" t="s">
        <v>445</v>
      </c>
      <c r="I15" s="29">
        <v>30</v>
      </c>
      <c r="J15" s="29" t="s">
        <v>409</v>
      </c>
      <c r="K15" s="29" t="s">
        <v>446</v>
      </c>
    </row>
    <row r="16" spans="1:11" ht="22.5" customHeight="1">
      <c r="A16" s="29">
        <v>15</v>
      </c>
      <c r="B16" s="29" t="s">
        <v>403</v>
      </c>
      <c r="C16" s="29" t="s">
        <v>82</v>
      </c>
      <c r="D16" s="29" t="s">
        <v>429</v>
      </c>
      <c r="E16" s="29" t="s">
        <v>434</v>
      </c>
      <c r="F16" s="29" t="s">
        <v>444</v>
      </c>
      <c r="G16" s="29" t="s">
        <v>91</v>
      </c>
      <c r="H16" s="29" t="s">
        <v>447</v>
      </c>
      <c r="I16" s="29">
        <v>30</v>
      </c>
      <c r="J16" s="29" t="s">
        <v>409</v>
      </c>
      <c r="K16" s="29" t="s">
        <v>446</v>
      </c>
    </row>
    <row r="17" spans="1:11" ht="22.5" customHeight="1">
      <c r="A17" s="29">
        <v>16</v>
      </c>
      <c r="B17" s="29" t="s">
        <v>403</v>
      </c>
      <c r="C17" s="29" t="s">
        <v>82</v>
      </c>
      <c r="D17" s="29" t="s">
        <v>429</v>
      </c>
      <c r="E17" s="29" t="s">
        <v>434</v>
      </c>
      <c r="F17" s="29" t="s">
        <v>444</v>
      </c>
      <c r="G17" s="29" t="s">
        <v>91</v>
      </c>
      <c r="H17" s="29" t="s">
        <v>448</v>
      </c>
      <c r="I17" s="29">
        <v>30</v>
      </c>
      <c r="J17" s="29" t="s">
        <v>409</v>
      </c>
      <c r="K17" s="29" t="s">
        <v>446</v>
      </c>
    </row>
    <row r="18" spans="1:11" ht="22.5" customHeight="1">
      <c r="A18" s="29">
        <v>17</v>
      </c>
      <c r="B18" s="29" t="s">
        <v>403</v>
      </c>
      <c r="C18" s="29" t="s">
        <v>82</v>
      </c>
      <c r="D18" s="29" t="s">
        <v>429</v>
      </c>
      <c r="E18" s="29" t="s">
        <v>434</v>
      </c>
      <c r="F18" s="29" t="s">
        <v>444</v>
      </c>
      <c r="G18" s="29" t="s">
        <v>91</v>
      </c>
      <c r="H18" s="29" t="s">
        <v>449</v>
      </c>
      <c r="I18" s="29">
        <v>30</v>
      </c>
      <c r="J18" s="29" t="s">
        <v>409</v>
      </c>
      <c r="K18" s="29" t="s">
        <v>446</v>
      </c>
    </row>
    <row r="19" spans="1:11" ht="22.5" customHeight="1">
      <c r="A19" s="29">
        <v>18</v>
      </c>
      <c r="B19" s="29" t="s">
        <v>403</v>
      </c>
      <c r="C19" s="29" t="s">
        <v>137</v>
      </c>
      <c r="D19" s="29" t="s">
        <v>450</v>
      </c>
      <c r="E19" s="29" t="s">
        <v>213</v>
      </c>
      <c r="F19" s="29" t="s">
        <v>426</v>
      </c>
      <c r="G19" s="29" t="s">
        <v>91</v>
      </c>
      <c r="H19" s="29" t="s">
        <v>451</v>
      </c>
      <c r="I19" s="29"/>
      <c r="J19" s="29" t="s">
        <v>452</v>
      </c>
      <c r="K19" s="29" t="s">
        <v>453</v>
      </c>
    </row>
    <row r="20" spans="1:11" ht="22.5" customHeight="1">
      <c r="A20" s="29">
        <v>19</v>
      </c>
      <c r="B20" s="29" t="s">
        <v>403</v>
      </c>
      <c r="C20" s="29" t="s">
        <v>137</v>
      </c>
      <c r="D20" s="29" t="s">
        <v>454</v>
      </c>
      <c r="E20" s="29" t="s">
        <v>213</v>
      </c>
      <c r="F20" s="29" t="s">
        <v>407</v>
      </c>
      <c r="G20" s="29" t="s">
        <v>334</v>
      </c>
      <c r="H20" s="29" t="s">
        <v>455</v>
      </c>
      <c r="I20" s="29"/>
      <c r="J20" s="30">
        <v>46300</v>
      </c>
      <c r="K20" s="29" t="s">
        <v>456</v>
      </c>
    </row>
    <row r="21" spans="1:11" ht="22.5" customHeight="1">
      <c r="A21" s="29">
        <v>20</v>
      </c>
      <c r="B21" s="29" t="s">
        <v>403</v>
      </c>
      <c r="C21" s="29" t="s">
        <v>137</v>
      </c>
      <c r="D21" s="29" t="s">
        <v>454</v>
      </c>
      <c r="E21" s="29" t="s">
        <v>213</v>
      </c>
      <c r="F21" s="29" t="s">
        <v>457</v>
      </c>
      <c r="G21" s="29" t="s">
        <v>334</v>
      </c>
      <c r="H21" s="29" t="s">
        <v>458</v>
      </c>
      <c r="I21" s="29"/>
      <c r="J21" s="30">
        <v>46300</v>
      </c>
      <c r="K21" s="29" t="s">
        <v>456</v>
      </c>
    </row>
    <row r="22" spans="1:11" ht="22.5" customHeight="1">
      <c r="A22" s="29">
        <v>21</v>
      </c>
      <c r="B22" s="29" t="s">
        <v>403</v>
      </c>
      <c r="C22" s="29" t="s">
        <v>137</v>
      </c>
      <c r="D22" s="29" t="s">
        <v>459</v>
      </c>
      <c r="E22" s="29" t="s">
        <v>213</v>
      </c>
      <c r="F22" s="29" t="s">
        <v>460</v>
      </c>
      <c r="G22" s="29" t="s">
        <v>110</v>
      </c>
      <c r="H22" s="29" t="s">
        <v>461</v>
      </c>
      <c r="I22" s="29"/>
      <c r="J22" s="29" t="s">
        <v>419</v>
      </c>
      <c r="K22" s="29" t="s">
        <v>462</v>
      </c>
    </row>
    <row r="23" spans="1:11" ht="22.5" customHeight="1">
      <c r="A23" s="29">
        <v>22</v>
      </c>
      <c r="B23" s="29" t="s">
        <v>403</v>
      </c>
      <c r="C23" s="29" t="s">
        <v>137</v>
      </c>
      <c r="D23" s="29" t="s">
        <v>454</v>
      </c>
      <c r="E23" s="29" t="s">
        <v>213</v>
      </c>
      <c r="F23" s="29" t="s">
        <v>463</v>
      </c>
      <c r="G23" s="29" t="s">
        <v>91</v>
      </c>
      <c r="H23" s="29" t="s">
        <v>464</v>
      </c>
      <c r="I23" s="29"/>
      <c r="J23" s="29" t="s">
        <v>465</v>
      </c>
      <c r="K23" s="29"/>
    </row>
    <row r="24" spans="1:11" ht="22.5" customHeight="1">
      <c r="A24" s="29">
        <v>23</v>
      </c>
      <c r="B24" s="29" t="s">
        <v>403</v>
      </c>
      <c r="C24" s="29" t="s">
        <v>137</v>
      </c>
      <c r="D24" s="29" t="s">
        <v>454</v>
      </c>
      <c r="E24" s="29" t="s">
        <v>213</v>
      </c>
      <c r="F24" s="29" t="s">
        <v>463</v>
      </c>
      <c r="G24" s="29" t="s">
        <v>91</v>
      </c>
      <c r="H24" s="29" t="s">
        <v>466</v>
      </c>
      <c r="I24" s="29"/>
      <c r="J24" s="29" t="s">
        <v>465</v>
      </c>
      <c r="K24" s="29"/>
    </row>
    <row r="25" spans="1:11" ht="22.5" customHeight="1">
      <c r="A25" s="29">
        <v>24</v>
      </c>
      <c r="B25" s="29" t="s">
        <v>403</v>
      </c>
      <c r="C25" s="29" t="s">
        <v>137</v>
      </c>
      <c r="D25" s="29" t="s">
        <v>425</v>
      </c>
      <c r="E25" s="29" t="s">
        <v>213</v>
      </c>
      <c r="F25" s="29" t="s">
        <v>467</v>
      </c>
      <c r="G25" s="29" t="s">
        <v>91</v>
      </c>
      <c r="H25" s="29" t="s">
        <v>468</v>
      </c>
      <c r="I25" s="29"/>
      <c r="J25" s="29" t="s">
        <v>469</v>
      </c>
      <c r="K25" s="29"/>
    </row>
    <row r="26" spans="1:11" ht="22.5" customHeight="1">
      <c r="A26" s="29">
        <v>25</v>
      </c>
      <c r="B26" s="29" t="s">
        <v>403</v>
      </c>
      <c r="C26" s="29" t="s">
        <v>137</v>
      </c>
      <c r="D26" s="29" t="s">
        <v>470</v>
      </c>
      <c r="E26" s="29" t="s">
        <v>213</v>
      </c>
      <c r="F26" s="29" t="s">
        <v>471</v>
      </c>
      <c r="G26" s="29" t="s">
        <v>91</v>
      </c>
      <c r="H26" s="29" t="s">
        <v>472</v>
      </c>
      <c r="I26" s="29"/>
      <c r="J26" s="30">
        <v>46147</v>
      </c>
      <c r="K26" s="29" t="s">
        <v>462</v>
      </c>
    </row>
  </sheetData>
  <dataValidations count="2">
    <dataValidation type="custom" allowBlank="1" showDropDown="1" sqref="J2:K26" xr:uid="{00000000-0002-0000-0200-000000000000}">
      <formula1>OR(NOT(ISERROR(DATEVALUE(J2))), AND(ISNUMBER(J2), LEFT(CELL("format", J2))="D"))</formula1>
    </dataValidation>
    <dataValidation type="custom" allowBlank="1" showDropDown="1" sqref="I2:I26" xr:uid="{00000000-0002-0000-0200-000001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DP</vt:lpstr>
      <vt:lpstr>Atish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Tanishq Sharma</cp:lastModifiedBy>
  <dcterms:modified xsi:type="dcterms:W3CDTF">2026-07-28T10:20:33Z</dcterms:modified>
</cp:coreProperties>
</file>