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Excellent Publicity\Downloads\"/>
    </mc:Choice>
  </mc:AlternateContent>
  <xr:revisionPtr revIDLastSave="0" documentId="13_ncr:1_{07FB5DFC-E05C-438F-9C71-06EE360488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P" sheetId="2" r:id="rId1"/>
  </sheets>
  <definedNames>
    <definedName name="_xlnm._FilterDatabase" localSheetId="0" hidden="1">DP!$A$1:$P$98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O98" i="2" l="1"/>
  <c r="P98" i="2" s="1"/>
  <c r="O97" i="2"/>
  <c r="P97" i="2" s="1"/>
  <c r="O96" i="2"/>
  <c r="P96" i="2" s="1"/>
  <c r="O95" i="2"/>
  <c r="P95" i="2" s="1"/>
  <c r="O94" i="2"/>
  <c r="P94" i="2" s="1"/>
  <c r="O93" i="2"/>
  <c r="P93" i="2" s="1"/>
  <c r="O92" i="2"/>
  <c r="P92" i="2" s="1"/>
  <c r="O91" i="2"/>
  <c r="P91" i="2" s="1"/>
  <c r="O90" i="2"/>
  <c r="P90" i="2" s="1"/>
  <c r="O89" i="2"/>
  <c r="P89" i="2" s="1"/>
  <c r="O88" i="2"/>
  <c r="P88" i="2" s="1"/>
  <c r="O87" i="2"/>
  <c r="P87" i="2" s="1"/>
  <c r="O86" i="2"/>
  <c r="P86" i="2" s="1"/>
  <c r="O85" i="2"/>
  <c r="P85" i="2" s="1"/>
  <c r="O84" i="2"/>
  <c r="P84" i="2" s="1"/>
  <c r="O83" i="2"/>
  <c r="P83" i="2" s="1"/>
  <c r="O82" i="2"/>
  <c r="P82" i="2" s="1"/>
  <c r="O81" i="2"/>
  <c r="P81" i="2" s="1"/>
  <c r="O80" i="2"/>
  <c r="O79" i="2"/>
  <c r="O78" i="2"/>
  <c r="O77" i="2"/>
  <c r="O76" i="2"/>
  <c r="P76" i="2" s="1"/>
  <c r="O75" i="2"/>
  <c r="P75" i="2" s="1"/>
  <c r="O74" i="2"/>
  <c r="P74" i="2" s="1"/>
  <c r="O73" i="2"/>
  <c r="P73" i="2" s="1"/>
  <c r="O72" i="2"/>
  <c r="P72" i="2" s="1"/>
  <c r="O71" i="2"/>
  <c r="P71" i="2" s="1"/>
  <c r="O70" i="2"/>
  <c r="P70" i="2" s="1"/>
  <c r="O69" i="2"/>
  <c r="P69" i="2" s="1"/>
  <c r="O68" i="2"/>
  <c r="P68" i="2" s="1"/>
  <c r="O67" i="2"/>
  <c r="P67" i="2" s="1"/>
  <c r="O66" i="2"/>
  <c r="P66" i="2" s="1"/>
  <c r="O65" i="2"/>
  <c r="P65" i="2" s="1"/>
  <c r="O64" i="2"/>
  <c r="P64" i="2" s="1"/>
  <c r="O63" i="2"/>
  <c r="P63" i="2" s="1"/>
  <c r="O62" i="2"/>
  <c r="P62" i="2" s="1"/>
  <c r="O61" i="2"/>
  <c r="P61" i="2" s="1"/>
  <c r="O60" i="2"/>
  <c r="P60" i="2" s="1"/>
  <c r="O59" i="2"/>
  <c r="P59" i="2" s="1"/>
  <c r="O58" i="2"/>
  <c r="P58" i="2" s="1"/>
  <c r="O57" i="2"/>
  <c r="P57" i="2" s="1"/>
  <c r="O56" i="2"/>
  <c r="P56" i="2" s="1"/>
  <c r="O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<sst xmlns="http://schemas.openxmlformats.org/spreadsheetml/2006/main" count="692" uniqueCount="179">
  <si>
    <t xml:space="preserve">Backend </t>
  </si>
  <si>
    <t>Sales</t>
  </si>
  <si>
    <t>Vendor</t>
  </si>
  <si>
    <t xml:space="preserve">Client </t>
  </si>
  <si>
    <t xml:space="preserve">City </t>
  </si>
  <si>
    <t xml:space="preserve">Location </t>
  </si>
  <si>
    <t>Days</t>
  </si>
  <si>
    <t xml:space="preserve">Start date </t>
  </si>
  <si>
    <t xml:space="preserve">END date </t>
  </si>
  <si>
    <t>Mid date</t>
  </si>
  <si>
    <t>Drashti</t>
  </si>
  <si>
    <t>Shailendra</t>
  </si>
  <si>
    <t>Aradhya media</t>
  </si>
  <si>
    <t>Dishayeen</t>
  </si>
  <si>
    <t>Gantry</t>
  </si>
  <si>
    <t>Jamshedpur</t>
  </si>
  <si>
    <t>Billboard</t>
  </si>
  <si>
    <t>2 G</t>
  </si>
  <si>
    <t>SOLIS YANMAR</t>
  </si>
  <si>
    <t>Shambhal</t>
  </si>
  <si>
    <t>Sambhal S.M. children school chandausi road  20X10</t>
  </si>
  <si>
    <t>Unipole</t>
  </si>
  <si>
    <t>Fatehpur</t>
  </si>
  <si>
    <t>Fatehpur Patharkata Chauraha 25X20</t>
  </si>
  <si>
    <t>Gaya</t>
  </si>
  <si>
    <t>Manpur Bus stand 20X30</t>
  </si>
  <si>
    <t>Karan sharma</t>
  </si>
  <si>
    <t>Bright</t>
  </si>
  <si>
    <t>Akash institue</t>
  </si>
  <si>
    <t>Mumbai</t>
  </si>
  <si>
    <t>Boisar</t>
  </si>
  <si>
    <t>Siddhivinayak</t>
  </si>
  <si>
    <t>Akola</t>
  </si>
  <si>
    <t>Medialogy</t>
  </si>
  <si>
    <t>Metro pillar</t>
  </si>
  <si>
    <t>Thane</t>
  </si>
  <si>
    <t>Blue box</t>
  </si>
  <si>
    <t>Platfrom board</t>
  </si>
  <si>
    <t>Archita</t>
  </si>
  <si>
    <t>Praksh arts</t>
  </si>
  <si>
    <t>PW</t>
  </si>
  <si>
    <t>Little millennium</t>
  </si>
  <si>
    <t>Mathura</t>
  </si>
  <si>
    <t>Gokul restaurant FC sarashwati kund road 20X15</t>
  </si>
  <si>
    <t>Bus Shelter</t>
  </si>
  <si>
    <t>Agra</t>
  </si>
  <si>
    <t>LED</t>
  </si>
  <si>
    <t>Kamlanagar near dilip medical agra 20X10</t>
  </si>
  <si>
    <t>Ajanta</t>
  </si>
  <si>
    <t>Rayagada</t>
  </si>
  <si>
    <t>Rayagada - Inside church kothapetta facing JK pur 20x20 NL</t>
  </si>
  <si>
    <t>Ronak / sai krupa</t>
  </si>
  <si>
    <t>Maharashtra</t>
  </si>
  <si>
    <t>Panvel Opp Ambedkar Statue Fcg Kings Electronic</t>
  </si>
  <si>
    <t>BQS</t>
  </si>
  <si>
    <t>Nerul Don Bosco School</t>
  </si>
  <si>
    <t>Shubham</t>
  </si>
  <si>
    <t>bhosari dhawade wasti gurudatta colony site no 3</t>
  </si>
  <si>
    <t>UP</t>
  </si>
  <si>
    <t>Junction chaurha</t>
  </si>
  <si>
    <t>Team ad mark</t>
  </si>
  <si>
    <t>Odisha</t>
  </si>
  <si>
    <t>INFRONT OF DAV SCHOOL, DAMANA , FACING-
 NILADRI VIHAR</t>
  </si>
  <si>
    <t>Rajshree</t>
  </si>
  <si>
    <t>Solapur Road At Kunjirwadi Fcg Solapur To Pune</t>
  </si>
  <si>
    <t>Assam</t>
  </si>
  <si>
    <t>GS Road Chirstain Basti Near City Centre</t>
  </si>
  <si>
    <t>A M</t>
  </si>
  <si>
    <t>Tripura</t>
  </si>
  <si>
    <t>Battala Market</t>
  </si>
  <si>
    <t>Station boards</t>
  </si>
  <si>
    <t>Railway Station On Platform Board</t>
  </si>
  <si>
    <t>PRIME STRRET / sai krupa</t>
  </si>
  <si>
    <t>Kurla (E), Bus Station, Kurla Bus Stn. (E)</t>
  </si>
  <si>
    <t>WEE R Outdoor</t>
  </si>
  <si>
    <t>Ausa Road</t>
  </si>
  <si>
    <t>Basweshwar Chowk</t>
  </si>
  <si>
    <t>DOOH</t>
  </si>
  <si>
    <t>NNI</t>
  </si>
  <si>
    <t>Dsa flyower</t>
  </si>
  <si>
    <t>Neharu Park</t>
  </si>
  <si>
    <t>trimurti</t>
  </si>
  <si>
    <t>Jharkhand</t>
  </si>
  <si>
    <t>UNIPOLE</t>
  </si>
  <si>
    <t>Dangratoli Chowk Facing Sarjana Chowk</t>
  </si>
  <si>
    <t>Ranchi,Harmu chowk</t>
  </si>
  <si>
    <t>Gajajnan Mandir signal</t>
  </si>
  <si>
    <t>Borivali Railway Station (West) Outside Station Facing Road</t>
  </si>
  <si>
    <t>PRAKASH ARTS</t>
  </si>
  <si>
    <t>Non-Lit</t>
  </si>
  <si>
    <t>Matiyari Flyover, Faizabad Road - Traffic: B.B.D.Engg.College</t>
  </si>
  <si>
    <t>Dadar- entry exit of Dadar East middle fob crowd moving towards Dadar central line and western line</t>
  </si>
  <si>
    <t>Ghatkopar</t>
  </si>
  <si>
    <t>Kendua Main Market</t>
  </si>
  <si>
    <t>Malad</t>
  </si>
  <si>
    <t>Bandra</t>
  </si>
  <si>
    <t>Digital screen</t>
  </si>
  <si>
    <t>Dadar FOB</t>
  </si>
  <si>
    <t>Kalyanpur Market -Alt - Gumti Market</t>
  </si>
  <si>
    <t>Badlapur</t>
  </si>
  <si>
    <t>Kalyan</t>
  </si>
  <si>
    <t>Station Board</t>
  </si>
  <si>
    <t>Mahim</t>
  </si>
  <si>
    <t>Chunniganj Crossing Alt - Civil Lines Katchery</t>
  </si>
  <si>
    <t>Seaowod Stn (w) nr. Seawood Mall towards belapur</t>
  </si>
  <si>
    <t>Borivali East O/s Station</t>
  </si>
  <si>
    <t>Kharghar Jalvayu Vihar</t>
  </si>
  <si>
    <t>PROACGTIVE / sai krupa</t>
  </si>
  <si>
    <t>Ghakopar Nr Station</t>
  </si>
  <si>
    <t>Andheri Link Road DN Nagar</t>
  </si>
  <si>
    <t>R D OUTDOOR</t>
  </si>
  <si>
    <t>Johnstonganj Railway Bridge</t>
  </si>
  <si>
    <t>Naini Fruit market</t>
  </si>
  <si>
    <t>Ad media</t>
  </si>
  <si>
    <t>Digital Screen</t>
  </si>
  <si>
    <t>Dombivli Shiv Mandir Road Near Kalyan Jewellers / Station</t>
  </si>
  <si>
    <t>West Bengal</t>
  </si>
  <si>
    <t>Howrah Station Centaur Hotel</t>
  </si>
  <si>
    <t>SPLASH</t>
  </si>
  <si>
    <t>Myorabad Chauraha Fac beli Hospital</t>
  </si>
  <si>
    <t>Prabha</t>
  </si>
  <si>
    <t>Redcliffe</t>
  </si>
  <si>
    <t>Pune</t>
  </si>
  <si>
    <t>Mordern College Police Line</t>
  </si>
  <si>
    <t>Bhandarkar Institute Dn</t>
  </si>
  <si>
    <t>Bharat English School Dn</t>
  </si>
  <si>
    <t>Nirmal complex paud road</t>
  </si>
  <si>
    <t>Onedevi Mandir Up</t>
  </si>
  <si>
    <t>Ambegaon D-Mart</t>
  </si>
  <si>
    <t>Viman Nagar Corner - Novotel Hotel</t>
  </si>
  <si>
    <t>Wadia College Up</t>
  </si>
  <si>
    <t>Moka Hotel Up</t>
  </si>
  <si>
    <t>Kachare Vasti Dn</t>
  </si>
  <si>
    <t>Shivaji Putala Wagholi Up</t>
  </si>
  <si>
    <t>Tiranga Hotel</t>
  </si>
  <si>
    <t>Aundh Gaon</t>
  </si>
  <si>
    <t>Manav</t>
  </si>
  <si>
    <t>Baner D-Mart -2</t>
  </si>
  <si>
    <t>It Company Kharadi 2</t>
  </si>
  <si>
    <t>Vanaz Corner - Kinara Hotel</t>
  </si>
  <si>
    <t>Collector Office Pune 3</t>
  </si>
  <si>
    <t>Ratna Memorial Hospital Dn</t>
  </si>
  <si>
    <t>Lokmanya Hospital</t>
  </si>
  <si>
    <t>Datta Nagar Thergaon Chowk</t>
  </si>
  <si>
    <t>Telco road power house</t>
  </si>
  <si>
    <t>Apar</t>
  </si>
  <si>
    <t>Bridal Asia</t>
  </si>
  <si>
    <t>Mumabi</t>
  </si>
  <si>
    <t>Lower parel opp palladium mall trf going dadar ET - FL 20X40</t>
  </si>
  <si>
    <t>Simca</t>
  </si>
  <si>
    <t>Juhu jvpd 40x40 MT/ET FL</t>
  </si>
  <si>
    <t>Filler</t>
  </si>
  <si>
    <t>Bandra SV ROAD nr gaiety galaxy</t>
  </si>
  <si>
    <t>Bandra western express highway 1st 41x41</t>
  </si>
  <si>
    <t>Dp Road Western Mall</t>
  </si>
  <si>
    <t>Zensar Technologies Dn</t>
  </si>
  <si>
    <t>Moledina Road Pune Station 5</t>
  </si>
  <si>
    <t>Shanti Nagar Vit Hostel</t>
  </si>
  <si>
    <t>Pmt Office Hadapsar</t>
  </si>
  <si>
    <t>Esi Office Bibwewadi - Dn</t>
  </si>
  <si>
    <t>Proactive in &amp; out</t>
  </si>
  <si>
    <t>Ghatkopar 60Road</t>
  </si>
  <si>
    <t>Ghatkopar Bus depot Ghatkopar East</t>
  </si>
  <si>
    <t>Ghatkopar station east</t>
  </si>
  <si>
    <t>Ghatkopar bus station Ghatkopar east</t>
  </si>
  <si>
    <t xml:space="preserve"> Dadar Pole kiosk - 20</t>
  </si>
  <si>
    <t>Pioneer ad thane</t>
  </si>
  <si>
    <t>Dombivli Thakurli Naka 40x20</t>
  </si>
  <si>
    <t>Rutvik Trivedi</t>
  </si>
  <si>
    <t xml:space="preserve">Nikhil </t>
  </si>
  <si>
    <t>EARTHS TREASURE FOOD PRIVATE LIMITED</t>
  </si>
  <si>
    <t>Bandra, Khar, Santa Cruz, Malad, Borivali - 400 pole kiosk</t>
  </si>
  <si>
    <t>W</t>
  </si>
  <si>
    <t>H</t>
  </si>
  <si>
    <t>SQFT</t>
  </si>
  <si>
    <t>TYPE</t>
  </si>
  <si>
    <t>Nonlit</t>
  </si>
  <si>
    <t>MEDIUM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</si>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</sst>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rgb="FF434343"/>
      <name val="Calibri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right" vertical="center"/>
    </xf>
    <xf numFmtId="164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name="BS-style" pivot="0" count="4" xr9:uid="{00000000-0011-0000-FFFF-FFFF00000000}">
      <tableStyleElement type="wholeTable" size="0" dxfId="16"/>
      <tableStyleElement type="headerRow" dxfId="15"/>
      <tableStyleElement type="firstRowStripe" dxfId="14"/>
      <tableStyleElement type="secondRowStripe" dxfId="13"/>
    </tableStyle>
    <tableStyle name="Atish-style" pivot="0" count="4" xr9:uid="{00000000-0011-0000-FFFF-FFFF01000000}">
      <tableStyleElement type="wholeTable" size="0" dxfId="12"/>
      <tableStyleElement type="headerRow" dxfId="11"/>
      <tableStyleElement type="firstRowStripe" dxfId="10"/>
      <tableStyleElement type="secondRowStripe" dxfId="9"/>
    </tableStyle>
    <tableStyle name="DP-style" pivot="0" count="4" xr9:uid="{00000000-0011-0000-FFFF-FFFF02000000}">
      <tableStyleElement type="wholeTable" size="0" dxfId="8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1" displayName="Table1" ref="A1:P98">
  <autoFilter ref="A1:P98" xr:uid="{00000000-0009-0000-0100-000003000000}"/>
  <tableColumns count="16">
    <tableColumn id="2" xr3:uid="{00000000-0010-0000-0000-000002000000}" name="Backend "/>
    <tableColumn id="3" xr3:uid="{00000000-0010-0000-0000-000003000000}" name="Sales"/>
    <tableColumn id="4" xr3:uid="{00000000-0010-0000-0000-000004000000}" name="Vendor"/>
    <tableColumn id="5" xr3:uid="{00000000-0010-0000-0000-000005000000}" name="Client "/>
    <tableColumn id="17" xr3:uid="{D1F50EB4-9A4F-4DD8-8677-B4D570C8369C}" name="Category" dataDxfId="0"/>
    <tableColumn id="6" xr3:uid="{00000000-0010-0000-0000-000006000000}" name="City "/>
    <tableColumn id="7" xr3:uid="{00000000-0010-0000-0000-000007000000}" name="MEDIUM"/>
    <tableColumn id="8" xr3:uid="{00000000-0010-0000-0000-000008000000}" name="Location "/>
    <tableColumn id="1" xr3:uid="{00000000-0010-0000-0000-000001000000}" name="W" dataDxfId="4"/>
    <tableColumn id="14" xr3:uid="{00000000-0010-0000-0000-00000E000000}" name="H" dataDxfId="3"/>
    <tableColumn id="13" xr3:uid="{00000000-0010-0000-0000-00000D000000}" name="SQFT" dataDxfId="2">
      <calculatedColumnFormula>Table1[[#This Row],[W]]*Table1[[#This Row],[H]]</calculatedColumnFormula>
    </tableColumn>
    <tableColumn id="15" xr3:uid="{00000000-0010-0000-0000-00000F000000}" name="TYPE" dataDxfId="1"/>
    <tableColumn id="9" xr3:uid="{00000000-0010-0000-0000-000009000000}" name="Days"/>
    <tableColumn id="10" xr3:uid="{00000000-0010-0000-0000-00000A000000}" name="Start date "/>
    <tableColumn id="11" xr3:uid="{00000000-0010-0000-0000-00000B000000}" name="Mid date"/>
    <tableColumn id="12" xr3:uid="{00000000-0010-0000-0000-00000C000000}" name="END date "/>
  </tableColumns>
  <tableStyleInfo name="D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931"/>
  <sheetViews>
    <sheetView tabSelected="1" workbookViewId="0">
      <selection activeCell="E2" sqref="E2"/>
    </sheetView>
  </sheetViews>
  <sheetFormatPr defaultColWidth="12.6640625" defaultRowHeight="15.75" customHeight="1" x14ac:dyDescent="0.25"/>
  <cols>
    <col min="1" max="1" width="13.33203125" customWidth="1"/>
    <col min="2" max="2" width="15.88671875" customWidth="1"/>
    <col min="3" max="3" width="31.44140625" customWidth="1"/>
    <col min="4" max="5" width="22.33203125" customWidth="1"/>
    <col min="6" max="6" width="15" customWidth="1"/>
    <col min="7" max="7" width="22.6640625" customWidth="1"/>
    <col min="8" max="8" width="67.33203125" customWidth="1"/>
    <col min="9" max="12" width="8.6640625" customWidth="1"/>
    <col min="14" max="14" width="16.44140625" customWidth="1"/>
    <col min="15" max="16" width="16.109375" customWidth="1"/>
  </cols>
  <sheetData>
    <row r="1" spans="1:16" ht="22.5" customHeight="1" x14ac:dyDescent="0.25">
      <c r="A1" s="3" t="s">
        <v>0</v>
      </c>
      <c r="B1" s="3" t="s">
        <v>1</v>
      </c>
      <c r="C1" s="2" t="s">
        <v>2</v>
      </c>
      <c r="D1" s="2" t="s">
        <v>3</v>
      </c>
      <c r="E1" s="2" t="s">
        <v>178</v>
      </c>
      <c r="F1" s="2" t="s">
        <v>4</v>
      </c>
      <c r="G1" s="2" t="s">
        <v>177</v>
      </c>
      <c r="H1" s="2" t="s">
        <v>5</v>
      </c>
      <c r="I1" s="2" t="s">
        <v>172</v>
      </c>
      <c r="J1" s="2" t="s">
        <v>173</v>
      </c>
      <c r="K1" s="2" t="s">
        <v>174</v>
      </c>
      <c r="L1" s="2" t="s">
        <v>175</v>
      </c>
      <c r="M1" s="4" t="s">
        <v>6</v>
      </c>
      <c r="N1" s="2" t="s">
        <v>7</v>
      </c>
      <c r="O1" s="3" t="s">
        <v>9</v>
      </c>
      <c r="P1" s="2" t="s">
        <v>8</v>
      </c>
    </row>
    <row r="2" spans="1:16" ht="22.5" customHeight="1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15</v>
      </c>
      <c r="G2" s="5" t="s">
        <v>16</v>
      </c>
      <c r="H2" s="6"/>
      <c r="I2" s="6">
        <v>20</v>
      </c>
      <c r="J2" s="6">
        <v>10</v>
      </c>
      <c r="K2" s="6">
        <f>Table1[[#This Row],[W]]*Table1[[#This Row],[H]]</f>
        <v>200</v>
      </c>
      <c r="L2" s="6" t="s">
        <v>176</v>
      </c>
      <c r="M2" s="6"/>
      <c r="N2" s="7"/>
      <c r="O2" s="7"/>
      <c r="P2" s="7">
        <f t="shared" ref="P2:P5" si="0">N2+M2</f>
        <v>0</v>
      </c>
    </row>
    <row r="3" spans="1:16" ht="22.5" customHeight="1" x14ac:dyDescent="0.25">
      <c r="A3" s="5" t="s">
        <v>10</v>
      </c>
      <c r="B3" s="5" t="s">
        <v>11</v>
      </c>
      <c r="C3" s="5" t="s">
        <v>17</v>
      </c>
      <c r="D3" s="5" t="s">
        <v>18</v>
      </c>
      <c r="E3" s="5"/>
      <c r="F3" s="5" t="s">
        <v>19</v>
      </c>
      <c r="G3" s="5" t="s">
        <v>16</v>
      </c>
      <c r="H3" s="8" t="s">
        <v>20</v>
      </c>
      <c r="I3" s="8"/>
      <c r="J3" s="8"/>
      <c r="K3" s="8">
        <f>Table1[[#This Row],[W]]*Table1[[#This Row],[H]]</f>
        <v>0</v>
      </c>
      <c r="L3" s="8"/>
      <c r="M3" s="8">
        <v>30</v>
      </c>
      <c r="N3" s="7">
        <v>46178</v>
      </c>
      <c r="O3" s="7"/>
      <c r="P3" s="7">
        <f t="shared" si="0"/>
        <v>46208</v>
      </c>
    </row>
    <row r="4" spans="1:16" ht="22.5" customHeight="1" x14ac:dyDescent="0.25">
      <c r="A4" s="5" t="s">
        <v>10</v>
      </c>
      <c r="B4" s="5" t="s">
        <v>11</v>
      </c>
      <c r="C4" s="5" t="s">
        <v>17</v>
      </c>
      <c r="D4" s="5" t="s">
        <v>18</v>
      </c>
      <c r="E4" s="5"/>
      <c r="F4" s="5" t="s">
        <v>22</v>
      </c>
      <c r="G4" s="5" t="s">
        <v>16</v>
      </c>
      <c r="H4" s="8" t="s">
        <v>23</v>
      </c>
      <c r="I4" s="8"/>
      <c r="J4" s="8"/>
      <c r="K4" s="8">
        <f>Table1[[#This Row],[W]]*Table1[[#This Row],[H]]</f>
        <v>0</v>
      </c>
      <c r="L4" s="8"/>
      <c r="M4" s="8">
        <v>30</v>
      </c>
      <c r="N4" s="7">
        <v>46178</v>
      </c>
      <c r="O4" s="7"/>
      <c r="P4" s="7">
        <f t="shared" si="0"/>
        <v>46208</v>
      </c>
    </row>
    <row r="5" spans="1:16" ht="22.5" customHeight="1" x14ac:dyDescent="0.25">
      <c r="A5" s="5" t="s">
        <v>10</v>
      </c>
      <c r="B5" s="5" t="s">
        <v>11</v>
      </c>
      <c r="C5" s="5" t="s">
        <v>12</v>
      </c>
      <c r="D5" s="5" t="s">
        <v>18</v>
      </c>
      <c r="E5" s="5"/>
      <c r="F5" s="5" t="s">
        <v>24</v>
      </c>
      <c r="G5" s="5" t="s">
        <v>16</v>
      </c>
      <c r="H5" s="8" t="s">
        <v>25</v>
      </c>
      <c r="I5" s="8"/>
      <c r="J5" s="8"/>
      <c r="K5" s="8">
        <f>Table1[[#This Row],[W]]*Table1[[#This Row],[H]]</f>
        <v>0</v>
      </c>
      <c r="L5" s="8"/>
      <c r="M5" s="8">
        <v>30</v>
      </c>
      <c r="N5" s="7">
        <v>46175</v>
      </c>
      <c r="O5" s="7"/>
      <c r="P5" s="7">
        <f t="shared" si="0"/>
        <v>46205</v>
      </c>
    </row>
    <row r="6" spans="1:16" ht="22.5" customHeight="1" x14ac:dyDescent="0.25">
      <c r="A6" s="5" t="s">
        <v>10</v>
      </c>
      <c r="B6" s="5" t="s">
        <v>26</v>
      </c>
      <c r="C6" s="5" t="s">
        <v>27</v>
      </c>
      <c r="D6" s="5" t="s">
        <v>28</v>
      </c>
      <c r="E6" s="5"/>
      <c r="F6" s="5" t="s">
        <v>29</v>
      </c>
      <c r="G6" s="5" t="s">
        <v>14</v>
      </c>
      <c r="H6" s="8" t="s">
        <v>30</v>
      </c>
      <c r="I6" s="8"/>
      <c r="J6" s="8"/>
      <c r="K6" s="8">
        <f>Table1[[#This Row],[W]]*Table1[[#This Row],[H]]</f>
        <v>0</v>
      </c>
      <c r="L6" s="8"/>
      <c r="M6" s="8">
        <v>30</v>
      </c>
      <c r="N6" s="7">
        <v>46188</v>
      </c>
      <c r="O6" s="7">
        <v>46203</v>
      </c>
      <c r="P6" s="7">
        <f>N6+30</f>
        <v>46218</v>
      </c>
    </row>
    <row r="7" spans="1:16" ht="22.5" customHeight="1" x14ac:dyDescent="0.25">
      <c r="A7" s="5" t="s">
        <v>10</v>
      </c>
      <c r="B7" s="5" t="s">
        <v>26</v>
      </c>
      <c r="C7" s="5" t="s">
        <v>31</v>
      </c>
      <c r="D7" s="5" t="s">
        <v>28</v>
      </c>
      <c r="E7" s="5"/>
      <c r="F7" s="5" t="s">
        <v>29</v>
      </c>
      <c r="G7" s="5" t="s">
        <v>16</v>
      </c>
      <c r="H7" s="8" t="s">
        <v>32</v>
      </c>
      <c r="I7" s="8"/>
      <c r="J7" s="8"/>
      <c r="K7" s="8">
        <f>Table1[[#This Row],[W]]*Table1[[#This Row],[H]]</f>
        <v>0</v>
      </c>
      <c r="L7" s="8"/>
      <c r="M7" s="8">
        <v>30</v>
      </c>
      <c r="N7" s="7">
        <v>46181</v>
      </c>
      <c r="O7" s="7">
        <v>46196</v>
      </c>
      <c r="P7" s="7">
        <f t="shared" ref="P7:P9" si="1">N7+M7</f>
        <v>46211</v>
      </c>
    </row>
    <row r="8" spans="1:16" ht="22.5" customHeight="1" x14ac:dyDescent="0.25">
      <c r="A8" s="5" t="s">
        <v>10</v>
      </c>
      <c r="B8" s="5" t="s">
        <v>26</v>
      </c>
      <c r="C8" s="5" t="s">
        <v>33</v>
      </c>
      <c r="D8" s="5" t="s">
        <v>28</v>
      </c>
      <c r="E8" s="5"/>
      <c r="F8" s="5" t="s">
        <v>29</v>
      </c>
      <c r="G8" s="5" t="s">
        <v>34</v>
      </c>
      <c r="H8" s="8" t="s">
        <v>35</v>
      </c>
      <c r="I8" s="8"/>
      <c r="J8" s="8"/>
      <c r="K8" s="8">
        <f>Table1[[#This Row],[W]]*Table1[[#This Row],[H]]</f>
        <v>0</v>
      </c>
      <c r="L8" s="8"/>
      <c r="M8" s="8">
        <v>30</v>
      </c>
      <c r="N8" s="7">
        <v>46177</v>
      </c>
      <c r="O8" s="7">
        <v>46192</v>
      </c>
      <c r="P8" s="7">
        <f t="shared" si="1"/>
        <v>46207</v>
      </c>
    </row>
    <row r="9" spans="1:16" ht="22.5" customHeight="1" x14ac:dyDescent="0.25">
      <c r="A9" s="9" t="s">
        <v>10</v>
      </c>
      <c r="B9" s="9" t="s">
        <v>26</v>
      </c>
      <c r="C9" s="9" t="s">
        <v>36</v>
      </c>
      <c r="D9" s="9" t="s">
        <v>28</v>
      </c>
      <c r="E9" s="9"/>
      <c r="F9" s="9" t="s">
        <v>29</v>
      </c>
      <c r="G9" s="9" t="s">
        <v>37</v>
      </c>
      <c r="H9" s="10" t="s">
        <v>30</v>
      </c>
      <c r="I9" s="10"/>
      <c r="J9" s="10"/>
      <c r="K9" s="10">
        <f>Table1[[#This Row],[W]]*Table1[[#This Row],[H]]</f>
        <v>0</v>
      </c>
      <c r="L9" s="10"/>
      <c r="M9" s="10">
        <v>30</v>
      </c>
      <c r="N9" s="11">
        <v>46176</v>
      </c>
      <c r="O9" s="11">
        <v>46191</v>
      </c>
      <c r="P9" s="11">
        <f t="shared" si="1"/>
        <v>46206</v>
      </c>
    </row>
    <row r="10" spans="1:16" ht="22.5" customHeight="1" x14ac:dyDescent="0.25">
      <c r="A10" s="5" t="s">
        <v>10</v>
      </c>
      <c r="B10" s="5" t="s">
        <v>38</v>
      </c>
      <c r="C10" s="5" t="s">
        <v>39</v>
      </c>
      <c r="D10" s="5" t="s">
        <v>41</v>
      </c>
      <c r="E10" s="5"/>
      <c r="F10" s="5" t="s">
        <v>42</v>
      </c>
      <c r="G10" s="5" t="s">
        <v>16</v>
      </c>
      <c r="H10" s="8" t="s">
        <v>43</v>
      </c>
      <c r="I10" s="8"/>
      <c r="J10" s="8"/>
      <c r="K10" s="8">
        <f>Table1[[#This Row],[W]]*Table1[[#This Row],[H]]</f>
        <v>0</v>
      </c>
      <c r="L10" s="8"/>
      <c r="M10" s="6"/>
      <c r="N10" s="7"/>
      <c r="O10" s="7" t="e">
        <f>#REF!*#REF!</f>
        <v>#REF!</v>
      </c>
      <c r="P10" s="7"/>
    </row>
    <row r="11" spans="1:16" ht="22.5" customHeight="1" x14ac:dyDescent="0.25">
      <c r="A11" s="5" t="s">
        <v>10</v>
      </c>
      <c r="B11" s="5" t="s">
        <v>38</v>
      </c>
      <c r="C11" s="5" t="s">
        <v>39</v>
      </c>
      <c r="D11" s="5" t="s">
        <v>41</v>
      </c>
      <c r="E11" s="5"/>
      <c r="F11" s="5" t="s">
        <v>45</v>
      </c>
      <c r="G11" s="5" t="s">
        <v>46</v>
      </c>
      <c r="H11" s="8" t="s">
        <v>47</v>
      </c>
      <c r="I11" s="8"/>
      <c r="J11" s="8"/>
      <c r="K11" s="8">
        <f>Table1[[#This Row],[W]]*Table1[[#This Row],[H]]</f>
        <v>0</v>
      </c>
      <c r="L11" s="8"/>
      <c r="M11" s="6"/>
      <c r="N11" s="7"/>
      <c r="O11" s="7"/>
      <c r="P11" s="7"/>
    </row>
    <row r="12" spans="1:16" ht="22.5" customHeight="1" x14ac:dyDescent="0.25">
      <c r="A12" s="5" t="s">
        <v>10</v>
      </c>
      <c r="B12" s="5" t="s">
        <v>11</v>
      </c>
      <c r="C12" s="5" t="s">
        <v>48</v>
      </c>
      <c r="D12" s="5" t="s">
        <v>41</v>
      </c>
      <c r="E12" s="5"/>
      <c r="F12" s="5" t="s">
        <v>49</v>
      </c>
      <c r="G12" s="5" t="s">
        <v>16</v>
      </c>
      <c r="H12" s="5" t="s">
        <v>50</v>
      </c>
      <c r="I12" s="5"/>
      <c r="J12" s="5"/>
      <c r="K12" s="5">
        <f>Table1[[#This Row],[W]]*Table1[[#This Row],[H]]</f>
        <v>0</v>
      </c>
      <c r="L12" s="5"/>
      <c r="M12" s="5">
        <v>30</v>
      </c>
      <c r="N12" s="12"/>
      <c r="O12" s="7"/>
      <c r="P12" s="7"/>
    </row>
    <row r="13" spans="1:16" ht="22.5" customHeight="1" x14ac:dyDescent="0.25">
      <c r="A13" s="5" t="s">
        <v>10</v>
      </c>
      <c r="B13" s="5" t="s">
        <v>11</v>
      </c>
      <c r="C13" s="5" t="s">
        <v>51</v>
      </c>
      <c r="D13" s="5" t="s">
        <v>40</v>
      </c>
      <c r="E13" s="5"/>
      <c r="F13" s="5" t="s">
        <v>52</v>
      </c>
      <c r="G13" s="5" t="s">
        <v>14</v>
      </c>
      <c r="H13" s="5" t="s">
        <v>53</v>
      </c>
      <c r="I13" s="5"/>
      <c r="J13" s="5"/>
      <c r="K13" s="5">
        <f>Table1[[#This Row],[W]]*Table1[[#This Row],[H]]</f>
        <v>0</v>
      </c>
      <c r="L13" s="5"/>
      <c r="M13" s="5">
        <v>30</v>
      </c>
      <c r="N13" s="12"/>
      <c r="O13" s="7"/>
      <c r="P13" s="7"/>
    </row>
    <row r="14" spans="1:16" ht="22.5" customHeight="1" x14ac:dyDescent="0.25">
      <c r="A14" s="5" t="s">
        <v>10</v>
      </c>
      <c r="B14" s="5" t="s">
        <v>11</v>
      </c>
      <c r="C14" s="5" t="s">
        <v>51</v>
      </c>
      <c r="D14" s="5" t="s">
        <v>40</v>
      </c>
      <c r="E14" s="5"/>
      <c r="F14" s="5" t="s">
        <v>52</v>
      </c>
      <c r="G14" s="5" t="s">
        <v>54</v>
      </c>
      <c r="H14" s="5" t="s">
        <v>55</v>
      </c>
      <c r="I14" s="5"/>
      <c r="J14" s="5"/>
      <c r="K14" s="5">
        <f>Table1[[#This Row],[W]]*Table1[[#This Row],[H]]</f>
        <v>0</v>
      </c>
      <c r="L14" s="5"/>
      <c r="M14" s="5">
        <v>30</v>
      </c>
      <c r="N14" s="12"/>
      <c r="O14" s="7"/>
      <c r="P14" s="7"/>
    </row>
    <row r="15" spans="1:16" ht="22.5" customHeight="1" x14ac:dyDescent="0.25">
      <c r="A15" s="5" t="s">
        <v>10</v>
      </c>
      <c r="B15" s="5" t="s">
        <v>11</v>
      </c>
      <c r="C15" s="5" t="s">
        <v>56</v>
      </c>
      <c r="D15" s="5" t="s">
        <v>40</v>
      </c>
      <c r="E15" s="5"/>
      <c r="F15" s="5" t="s">
        <v>52</v>
      </c>
      <c r="G15" s="5" t="s">
        <v>16</v>
      </c>
      <c r="H15" s="5" t="s">
        <v>57</v>
      </c>
      <c r="I15" s="5"/>
      <c r="J15" s="5"/>
      <c r="K15" s="5">
        <f>Table1[[#This Row],[W]]*Table1[[#This Row],[H]]</f>
        <v>0</v>
      </c>
      <c r="L15" s="5"/>
      <c r="M15" s="5">
        <v>30</v>
      </c>
      <c r="N15" s="12"/>
      <c r="O15" s="7"/>
      <c r="P15" s="7"/>
    </row>
    <row r="16" spans="1:16" ht="22.5" customHeight="1" x14ac:dyDescent="0.25">
      <c r="A16" s="5" t="s">
        <v>10</v>
      </c>
      <c r="B16" s="5" t="s">
        <v>11</v>
      </c>
      <c r="C16" s="5" t="s">
        <v>17</v>
      </c>
      <c r="D16" s="5" t="s">
        <v>40</v>
      </c>
      <c r="E16" s="5"/>
      <c r="F16" s="5" t="s">
        <v>58</v>
      </c>
      <c r="G16" s="5" t="s">
        <v>16</v>
      </c>
      <c r="H16" s="5" t="s">
        <v>59</v>
      </c>
      <c r="I16" s="5"/>
      <c r="J16" s="5"/>
      <c r="K16" s="5">
        <f>Table1[[#This Row],[W]]*Table1[[#This Row],[H]]</f>
        <v>0</v>
      </c>
      <c r="L16" s="5"/>
      <c r="M16" s="5">
        <v>30</v>
      </c>
      <c r="N16" s="12"/>
      <c r="O16" s="7"/>
      <c r="P16" s="7"/>
    </row>
    <row r="17" spans="1:16" ht="22.5" customHeight="1" x14ac:dyDescent="0.25">
      <c r="A17" s="5" t="s">
        <v>10</v>
      </c>
      <c r="B17" s="5" t="s">
        <v>11</v>
      </c>
      <c r="C17" s="5" t="s">
        <v>60</v>
      </c>
      <c r="D17" s="5" t="s">
        <v>40</v>
      </c>
      <c r="E17" s="5"/>
      <c r="F17" s="5" t="s">
        <v>61</v>
      </c>
      <c r="G17" s="5" t="s">
        <v>16</v>
      </c>
      <c r="H17" s="5" t="s">
        <v>62</v>
      </c>
      <c r="I17" s="5"/>
      <c r="J17" s="5"/>
      <c r="K17" s="5">
        <f>Table1[[#This Row],[W]]*Table1[[#This Row],[H]]</f>
        <v>0</v>
      </c>
      <c r="L17" s="5"/>
      <c r="M17" s="5">
        <v>30</v>
      </c>
      <c r="N17" s="12"/>
      <c r="O17" s="7"/>
      <c r="P17" s="7"/>
    </row>
    <row r="18" spans="1:16" ht="22.5" customHeight="1" x14ac:dyDescent="0.25">
      <c r="A18" s="5" t="s">
        <v>10</v>
      </c>
      <c r="B18" s="5" t="s">
        <v>11</v>
      </c>
      <c r="C18" s="5" t="s">
        <v>63</v>
      </c>
      <c r="D18" s="5" t="s">
        <v>40</v>
      </c>
      <c r="E18" s="5"/>
      <c r="F18" s="5" t="s">
        <v>52</v>
      </c>
      <c r="G18" s="5" t="s">
        <v>16</v>
      </c>
      <c r="H18" s="5" t="s">
        <v>64</v>
      </c>
      <c r="I18" s="5"/>
      <c r="J18" s="5"/>
      <c r="K18" s="5">
        <f>Table1[[#This Row],[W]]*Table1[[#This Row],[H]]</f>
        <v>0</v>
      </c>
      <c r="L18" s="5"/>
      <c r="M18" s="5">
        <v>30</v>
      </c>
      <c r="N18" s="12"/>
      <c r="O18" s="7"/>
      <c r="P18" s="7"/>
    </row>
    <row r="19" spans="1:16" ht="22.5" customHeight="1" x14ac:dyDescent="0.25">
      <c r="A19" s="5" t="s">
        <v>10</v>
      </c>
      <c r="B19" s="5" t="s">
        <v>11</v>
      </c>
      <c r="C19" s="5"/>
      <c r="D19" s="5" t="s">
        <v>40</v>
      </c>
      <c r="E19" s="5"/>
      <c r="F19" s="5" t="s">
        <v>65</v>
      </c>
      <c r="G19" s="5" t="s">
        <v>21</v>
      </c>
      <c r="H19" s="5" t="s">
        <v>66</v>
      </c>
      <c r="I19" s="5"/>
      <c r="J19" s="5"/>
      <c r="K19" s="5">
        <f>Table1[[#This Row],[W]]*Table1[[#This Row],[H]]</f>
        <v>0</v>
      </c>
      <c r="L19" s="5"/>
      <c r="M19" s="5">
        <v>30</v>
      </c>
      <c r="N19" s="12"/>
      <c r="O19" s="7"/>
      <c r="P19" s="7"/>
    </row>
    <row r="20" spans="1:16" ht="22.5" customHeight="1" x14ac:dyDescent="0.25">
      <c r="A20" s="5" t="s">
        <v>10</v>
      </c>
      <c r="B20" s="5" t="s">
        <v>11</v>
      </c>
      <c r="C20" s="5" t="s">
        <v>67</v>
      </c>
      <c r="D20" s="5" t="s">
        <v>40</v>
      </c>
      <c r="E20" s="5"/>
      <c r="F20" s="5" t="s">
        <v>68</v>
      </c>
      <c r="G20" s="5" t="s">
        <v>16</v>
      </c>
      <c r="H20" s="5" t="s">
        <v>69</v>
      </c>
      <c r="I20" s="5"/>
      <c r="J20" s="5"/>
      <c r="K20" s="5">
        <f>Table1[[#This Row],[W]]*Table1[[#This Row],[H]]</f>
        <v>0</v>
      </c>
      <c r="L20" s="5"/>
      <c r="M20" s="5">
        <v>30</v>
      </c>
      <c r="N20" s="12"/>
      <c r="O20" s="7"/>
      <c r="P20" s="7"/>
    </row>
    <row r="21" spans="1:16" ht="22.5" customHeight="1" x14ac:dyDescent="0.25">
      <c r="A21" s="5" t="s">
        <v>10</v>
      </c>
      <c r="B21" s="5" t="s">
        <v>11</v>
      </c>
      <c r="C21" s="5" t="s">
        <v>36</v>
      </c>
      <c r="D21" s="5" t="s">
        <v>40</v>
      </c>
      <c r="E21" s="5"/>
      <c r="F21" s="5" t="s">
        <v>52</v>
      </c>
      <c r="G21" s="5" t="s">
        <v>70</v>
      </c>
      <c r="H21" s="5" t="s">
        <v>71</v>
      </c>
      <c r="I21" s="5"/>
      <c r="J21" s="5"/>
      <c r="K21" s="5">
        <f>Table1[[#This Row],[W]]*Table1[[#This Row],[H]]</f>
        <v>0</v>
      </c>
      <c r="L21" s="5"/>
      <c r="M21" s="5">
        <v>30</v>
      </c>
      <c r="N21" s="12"/>
      <c r="O21" s="7"/>
      <c r="P21" s="7"/>
    </row>
    <row r="22" spans="1:16" ht="22.5" customHeight="1" x14ac:dyDescent="0.25">
      <c r="A22" s="5" t="s">
        <v>10</v>
      </c>
      <c r="B22" s="5" t="s">
        <v>11</v>
      </c>
      <c r="C22" s="5" t="s">
        <v>36</v>
      </c>
      <c r="D22" s="5" t="s">
        <v>40</v>
      </c>
      <c r="E22" s="5"/>
      <c r="F22" s="5" t="s">
        <v>52</v>
      </c>
      <c r="G22" s="5" t="s">
        <v>70</v>
      </c>
      <c r="H22" s="5" t="s">
        <v>71</v>
      </c>
      <c r="I22" s="5"/>
      <c r="J22" s="5"/>
      <c r="K22" s="5">
        <f>Table1[[#This Row],[W]]*Table1[[#This Row],[H]]</f>
        <v>0</v>
      </c>
      <c r="L22" s="5"/>
      <c r="M22" s="5">
        <v>30</v>
      </c>
      <c r="N22" s="12"/>
      <c r="O22" s="7"/>
      <c r="P22" s="7"/>
    </row>
    <row r="23" spans="1:16" ht="22.5" customHeight="1" x14ac:dyDescent="0.25">
      <c r="A23" s="5" t="s">
        <v>10</v>
      </c>
      <c r="B23" s="5" t="s">
        <v>11</v>
      </c>
      <c r="C23" s="5" t="s">
        <v>36</v>
      </c>
      <c r="D23" s="5" t="s">
        <v>40</v>
      </c>
      <c r="E23" s="5"/>
      <c r="F23" s="5" t="s">
        <v>52</v>
      </c>
      <c r="G23" s="5" t="s">
        <v>70</v>
      </c>
      <c r="H23" s="5" t="s">
        <v>71</v>
      </c>
      <c r="I23" s="5"/>
      <c r="J23" s="5"/>
      <c r="K23" s="5">
        <f>Table1[[#This Row],[W]]*Table1[[#This Row],[H]]</f>
        <v>0</v>
      </c>
      <c r="L23" s="5"/>
      <c r="M23" s="5">
        <v>30</v>
      </c>
      <c r="N23" s="12"/>
      <c r="O23" s="7"/>
      <c r="P23" s="7"/>
    </row>
    <row r="24" spans="1:16" ht="22.5" customHeight="1" x14ac:dyDescent="0.25">
      <c r="A24" s="5" t="s">
        <v>10</v>
      </c>
      <c r="B24" s="5" t="s">
        <v>11</v>
      </c>
      <c r="C24" s="5" t="s">
        <v>36</v>
      </c>
      <c r="D24" s="5" t="s">
        <v>40</v>
      </c>
      <c r="E24" s="5"/>
      <c r="F24" s="5" t="s">
        <v>52</v>
      </c>
      <c r="G24" s="5" t="s">
        <v>70</v>
      </c>
      <c r="H24" s="5" t="s">
        <v>71</v>
      </c>
      <c r="I24" s="5"/>
      <c r="J24" s="5"/>
      <c r="K24" s="5">
        <f>Table1[[#This Row],[W]]*Table1[[#This Row],[H]]</f>
        <v>0</v>
      </c>
      <c r="L24" s="5"/>
      <c r="M24" s="5">
        <v>30</v>
      </c>
      <c r="N24" s="12"/>
      <c r="O24" s="7"/>
      <c r="P24" s="7"/>
    </row>
    <row r="25" spans="1:16" ht="22.5" customHeight="1" x14ac:dyDescent="0.25">
      <c r="A25" s="5" t="s">
        <v>10</v>
      </c>
      <c r="B25" s="5" t="s">
        <v>11</v>
      </c>
      <c r="C25" s="5" t="s">
        <v>72</v>
      </c>
      <c r="D25" s="5" t="s">
        <v>40</v>
      </c>
      <c r="E25" s="5"/>
      <c r="F25" s="5" t="s">
        <v>52</v>
      </c>
      <c r="G25" s="5" t="s">
        <v>44</v>
      </c>
      <c r="H25" s="5" t="s">
        <v>73</v>
      </c>
      <c r="I25" s="5"/>
      <c r="J25" s="5"/>
      <c r="K25" s="5">
        <f>Table1[[#This Row],[W]]*Table1[[#This Row],[H]]</f>
        <v>0</v>
      </c>
      <c r="L25" s="5"/>
      <c r="M25" s="5">
        <v>30</v>
      </c>
      <c r="N25" s="12"/>
      <c r="O25" s="7"/>
      <c r="P25" s="7"/>
    </row>
    <row r="26" spans="1:16" ht="22.5" customHeight="1" x14ac:dyDescent="0.25">
      <c r="A26" s="5" t="s">
        <v>10</v>
      </c>
      <c r="B26" s="5" t="s">
        <v>11</v>
      </c>
      <c r="C26" s="5" t="s">
        <v>74</v>
      </c>
      <c r="D26" s="5" t="s">
        <v>40</v>
      </c>
      <c r="E26" s="5"/>
      <c r="F26" s="5" t="s">
        <v>52</v>
      </c>
      <c r="G26" s="5" t="s">
        <v>16</v>
      </c>
      <c r="H26" s="5" t="s">
        <v>75</v>
      </c>
      <c r="I26" s="5"/>
      <c r="J26" s="5"/>
      <c r="K26" s="5">
        <f>Table1[[#This Row],[W]]*Table1[[#This Row],[H]]</f>
        <v>0</v>
      </c>
      <c r="L26" s="5"/>
      <c r="M26" s="5">
        <v>30</v>
      </c>
      <c r="N26" s="12"/>
      <c r="O26" s="7"/>
      <c r="P26" s="7"/>
    </row>
    <row r="27" spans="1:16" ht="22.5" customHeight="1" x14ac:dyDescent="0.25">
      <c r="A27" s="5" t="s">
        <v>10</v>
      </c>
      <c r="B27" s="5" t="s">
        <v>11</v>
      </c>
      <c r="C27" s="5" t="s">
        <v>74</v>
      </c>
      <c r="D27" s="5" t="s">
        <v>40</v>
      </c>
      <c r="E27" s="5"/>
      <c r="F27" s="5" t="s">
        <v>52</v>
      </c>
      <c r="G27" s="5" t="s">
        <v>16</v>
      </c>
      <c r="H27" s="5" t="s">
        <v>76</v>
      </c>
      <c r="I27" s="5"/>
      <c r="J27" s="5"/>
      <c r="K27" s="5">
        <f>Table1[[#This Row],[W]]*Table1[[#This Row],[H]]</f>
        <v>0</v>
      </c>
      <c r="L27" s="5"/>
      <c r="M27" s="5">
        <v>30</v>
      </c>
      <c r="N27" s="12"/>
      <c r="O27" s="7"/>
      <c r="P27" s="7"/>
    </row>
    <row r="28" spans="1:16" ht="22.5" customHeight="1" x14ac:dyDescent="0.25">
      <c r="A28" s="5" t="s">
        <v>10</v>
      </c>
      <c r="B28" s="5" t="s">
        <v>11</v>
      </c>
      <c r="C28" s="5" t="s">
        <v>78</v>
      </c>
      <c r="D28" s="5" t="s">
        <v>40</v>
      </c>
      <c r="E28" s="5"/>
      <c r="F28" s="5" t="s">
        <v>58</v>
      </c>
      <c r="G28" s="5" t="s">
        <v>16</v>
      </c>
      <c r="H28" s="5" t="s">
        <v>79</v>
      </c>
      <c r="I28" s="5"/>
      <c r="J28" s="5"/>
      <c r="K28" s="5">
        <f>Table1[[#This Row],[W]]*Table1[[#This Row],[H]]</f>
        <v>0</v>
      </c>
      <c r="L28" s="5"/>
      <c r="M28" s="5">
        <v>30</v>
      </c>
      <c r="N28" s="12"/>
      <c r="O28" s="7"/>
      <c r="P28" s="7"/>
    </row>
    <row r="29" spans="1:16" ht="22.5" customHeight="1" x14ac:dyDescent="0.25">
      <c r="A29" s="5" t="s">
        <v>10</v>
      </c>
      <c r="B29" s="5" t="s">
        <v>11</v>
      </c>
      <c r="C29" s="5" t="s">
        <v>74</v>
      </c>
      <c r="D29" s="5" t="s">
        <v>40</v>
      </c>
      <c r="E29" s="5"/>
      <c r="F29" s="5" t="s">
        <v>52</v>
      </c>
      <c r="G29" s="5" t="s">
        <v>16</v>
      </c>
      <c r="H29" s="5" t="s">
        <v>80</v>
      </c>
      <c r="I29" s="5"/>
      <c r="J29" s="5"/>
      <c r="K29" s="5">
        <f>Table1[[#This Row],[W]]*Table1[[#This Row],[H]]</f>
        <v>0</v>
      </c>
      <c r="L29" s="5"/>
      <c r="M29" s="5">
        <v>30</v>
      </c>
      <c r="N29" s="12"/>
      <c r="O29" s="7"/>
      <c r="P29" s="7"/>
    </row>
    <row r="30" spans="1:16" ht="22.5" customHeight="1" x14ac:dyDescent="0.25">
      <c r="A30" s="5" t="s">
        <v>10</v>
      </c>
      <c r="B30" s="5" t="s">
        <v>11</v>
      </c>
      <c r="C30" s="5" t="s">
        <v>81</v>
      </c>
      <c r="D30" s="5" t="s">
        <v>40</v>
      </c>
      <c r="E30" s="5"/>
      <c r="F30" s="5" t="s">
        <v>82</v>
      </c>
      <c r="G30" s="5" t="s">
        <v>83</v>
      </c>
      <c r="H30" s="5" t="s">
        <v>84</v>
      </c>
      <c r="I30" s="5"/>
      <c r="J30" s="5"/>
      <c r="K30" s="5">
        <f>Table1[[#This Row],[W]]*Table1[[#This Row],[H]]</f>
        <v>0</v>
      </c>
      <c r="L30" s="5"/>
      <c r="M30" s="5">
        <v>30</v>
      </c>
      <c r="N30" s="12"/>
      <c r="O30" s="7"/>
      <c r="P30" s="7"/>
    </row>
    <row r="31" spans="1:16" ht="22.5" customHeight="1" x14ac:dyDescent="0.25">
      <c r="A31" s="5" t="s">
        <v>10</v>
      </c>
      <c r="B31" s="5" t="s">
        <v>11</v>
      </c>
      <c r="C31" s="5" t="s">
        <v>81</v>
      </c>
      <c r="D31" s="5" t="s">
        <v>40</v>
      </c>
      <c r="E31" s="5"/>
      <c r="F31" s="5" t="s">
        <v>82</v>
      </c>
      <c r="G31" s="5" t="s">
        <v>21</v>
      </c>
      <c r="H31" s="5" t="s">
        <v>85</v>
      </c>
      <c r="I31" s="5"/>
      <c r="J31" s="5"/>
      <c r="K31" s="5">
        <f>Table1[[#This Row],[W]]*Table1[[#This Row],[H]]</f>
        <v>0</v>
      </c>
      <c r="L31" s="5"/>
      <c r="M31" s="5">
        <v>30</v>
      </c>
      <c r="N31" s="12"/>
      <c r="O31" s="7"/>
      <c r="P31" s="7"/>
    </row>
    <row r="32" spans="1:16" ht="22.5" customHeight="1" x14ac:dyDescent="0.25">
      <c r="A32" s="5" t="s">
        <v>10</v>
      </c>
      <c r="B32" s="5" t="s">
        <v>11</v>
      </c>
      <c r="C32" s="5" t="s">
        <v>74</v>
      </c>
      <c r="D32" s="5" t="s">
        <v>40</v>
      </c>
      <c r="E32" s="5"/>
      <c r="F32" s="5" t="s">
        <v>52</v>
      </c>
      <c r="G32" s="5" t="s">
        <v>16</v>
      </c>
      <c r="H32" s="5" t="s">
        <v>86</v>
      </c>
      <c r="I32" s="5"/>
      <c r="J32" s="5"/>
      <c r="K32" s="5">
        <f>Table1[[#This Row],[W]]*Table1[[#This Row],[H]]</f>
        <v>0</v>
      </c>
      <c r="L32" s="5"/>
      <c r="M32" s="5">
        <v>30</v>
      </c>
      <c r="N32" s="12"/>
      <c r="O32" s="7"/>
      <c r="P32" s="7"/>
    </row>
    <row r="33" spans="1:16" ht="22.5" customHeight="1" x14ac:dyDescent="0.25">
      <c r="A33" s="5" t="s">
        <v>10</v>
      </c>
      <c r="B33" s="5" t="s">
        <v>11</v>
      </c>
      <c r="C33" s="5" t="s">
        <v>36</v>
      </c>
      <c r="D33" s="5" t="s">
        <v>40</v>
      </c>
      <c r="E33" s="5"/>
      <c r="F33" s="5" t="s">
        <v>52</v>
      </c>
      <c r="G33" s="5" t="s">
        <v>46</v>
      </c>
      <c r="H33" s="5" t="s">
        <v>87</v>
      </c>
      <c r="I33" s="5"/>
      <c r="J33" s="5"/>
      <c r="K33" s="5">
        <f>Table1[[#This Row],[W]]*Table1[[#This Row],[H]]</f>
        <v>0</v>
      </c>
      <c r="L33" s="5"/>
      <c r="M33" s="5">
        <v>30</v>
      </c>
      <c r="N33" s="12"/>
      <c r="O33" s="7"/>
      <c r="P33" s="7"/>
    </row>
    <row r="34" spans="1:16" ht="22.5" customHeight="1" x14ac:dyDescent="0.25">
      <c r="A34" s="5" t="s">
        <v>10</v>
      </c>
      <c r="B34" s="5" t="s">
        <v>11</v>
      </c>
      <c r="C34" s="5" t="s">
        <v>88</v>
      </c>
      <c r="D34" s="5" t="s">
        <v>40</v>
      </c>
      <c r="E34" s="5"/>
      <c r="F34" s="5" t="s">
        <v>58</v>
      </c>
      <c r="G34" s="5" t="s">
        <v>89</v>
      </c>
      <c r="H34" s="5" t="s">
        <v>90</v>
      </c>
      <c r="I34" s="5"/>
      <c r="J34" s="5"/>
      <c r="K34" s="5">
        <f>Table1[[#This Row],[W]]*Table1[[#This Row],[H]]</f>
        <v>0</v>
      </c>
      <c r="L34" s="5"/>
      <c r="M34" s="5">
        <v>30</v>
      </c>
      <c r="N34" s="12"/>
      <c r="O34" s="7"/>
      <c r="P34" s="7"/>
    </row>
    <row r="35" spans="1:16" ht="22.5" customHeight="1" x14ac:dyDescent="0.25">
      <c r="A35" s="5" t="s">
        <v>10</v>
      </c>
      <c r="B35" s="5" t="s">
        <v>11</v>
      </c>
      <c r="C35" s="5" t="s">
        <v>36</v>
      </c>
      <c r="D35" s="5" t="s">
        <v>40</v>
      </c>
      <c r="E35" s="5"/>
      <c r="F35" s="5" t="s">
        <v>52</v>
      </c>
      <c r="G35" s="5" t="s">
        <v>77</v>
      </c>
      <c r="H35" s="5" t="s">
        <v>91</v>
      </c>
      <c r="I35" s="5"/>
      <c r="J35" s="5"/>
      <c r="K35" s="5">
        <f>Table1[[#This Row],[W]]*Table1[[#This Row],[H]]</f>
        <v>0</v>
      </c>
      <c r="L35" s="5"/>
      <c r="M35" s="5">
        <v>30</v>
      </c>
      <c r="N35" s="12"/>
      <c r="O35" s="7"/>
      <c r="P35" s="7"/>
    </row>
    <row r="36" spans="1:16" ht="22.5" customHeight="1" x14ac:dyDescent="0.25">
      <c r="A36" s="5" t="s">
        <v>10</v>
      </c>
      <c r="B36" s="5" t="s">
        <v>11</v>
      </c>
      <c r="C36" s="5" t="s">
        <v>36</v>
      </c>
      <c r="D36" s="5" t="s">
        <v>40</v>
      </c>
      <c r="E36" s="5"/>
      <c r="F36" s="5" t="s">
        <v>52</v>
      </c>
      <c r="G36" s="5" t="s">
        <v>70</v>
      </c>
      <c r="H36" s="5" t="s">
        <v>92</v>
      </c>
      <c r="I36" s="5"/>
      <c r="J36" s="5"/>
      <c r="K36" s="5">
        <f>Table1[[#This Row],[W]]*Table1[[#This Row],[H]]</f>
        <v>0</v>
      </c>
      <c r="L36" s="5"/>
      <c r="M36" s="5">
        <v>30</v>
      </c>
      <c r="N36" s="12"/>
      <c r="O36" s="7"/>
      <c r="P36" s="7"/>
    </row>
    <row r="37" spans="1:16" ht="22.5" customHeight="1" x14ac:dyDescent="0.25">
      <c r="A37" s="5" t="s">
        <v>10</v>
      </c>
      <c r="B37" s="5" t="s">
        <v>11</v>
      </c>
      <c r="C37" s="5" t="s">
        <v>81</v>
      </c>
      <c r="D37" s="5" t="s">
        <v>40</v>
      </c>
      <c r="E37" s="5"/>
      <c r="F37" s="5" t="s">
        <v>82</v>
      </c>
      <c r="G37" s="5" t="s">
        <v>21</v>
      </c>
      <c r="H37" s="5" t="s">
        <v>93</v>
      </c>
      <c r="I37" s="5"/>
      <c r="J37" s="5"/>
      <c r="K37" s="5">
        <f>Table1[[#This Row],[W]]*Table1[[#This Row],[H]]</f>
        <v>0</v>
      </c>
      <c r="L37" s="5"/>
      <c r="M37" s="5">
        <v>30</v>
      </c>
      <c r="N37" s="12"/>
      <c r="O37" s="7"/>
      <c r="P37" s="7"/>
    </row>
    <row r="38" spans="1:16" ht="22.5" customHeight="1" x14ac:dyDescent="0.25">
      <c r="A38" s="5" t="s">
        <v>10</v>
      </c>
      <c r="B38" s="5" t="s">
        <v>11</v>
      </c>
      <c r="C38" s="5" t="s">
        <v>36</v>
      </c>
      <c r="D38" s="5" t="s">
        <v>40</v>
      </c>
      <c r="E38" s="5"/>
      <c r="F38" s="5" t="s">
        <v>52</v>
      </c>
      <c r="G38" s="5" t="s">
        <v>70</v>
      </c>
      <c r="H38" s="5" t="s">
        <v>94</v>
      </c>
      <c r="I38" s="5"/>
      <c r="J38" s="5"/>
      <c r="K38" s="5">
        <f>Table1[[#This Row],[W]]*Table1[[#This Row],[H]]</f>
        <v>0</v>
      </c>
      <c r="L38" s="5"/>
      <c r="M38" s="5">
        <v>30</v>
      </c>
      <c r="N38" s="12"/>
      <c r="O38" s="7"/>
      <c r="P38" s="7"/>
    </row>
    <row r="39" spans="1:16" ht="22.5" customHeight="1" x14ac:dyDescent="0.25">
      <c r="A39" s="5" t="s">
        <v>10</v>
      </c>
      <c r="B39" s="5" t="s">
        <v>11</v>
      </c>
      <c r="C39" s="5" t="s">
        <v>36</v>
      </c>
      <c r="D39" s="5" t="s">
        <v>40</v>
      </c>
      <c r="E39" s="5"/>
      <c r="F39" s="5" t="s">
        <v>52</v>
      </c>
      <c r="G39" s="5" t="s">
        <v>70</v>
      </c>
      <c r="H39" s="5" t="s">
        <v>95</v>
      </c>
      <c r="I39" s="5"/>
      <c r="J39" s="5"/>
      <c r="K39" s="5">
        <f>Table1[[#This Row],[W]]*Table1[[#This Row],[H]]</f>
        <v>0</v>
      </c>
      <c r="L39" s="5"/>
      <c r="M39" s="5">
        <v>30</v>
      </c>
      <c r="N39" s="12"/>
      <c r="O39" s="7"/>
      <c r="P39" s="7"/>
    </row>
    <row r="40" spans="1:16" ht="22.5" customHeight="1" x14ac:dyDescent="0.25">
      <c r="A40" s="5" t="s">
        <v>10</v>
      </c>
      <c r="B40" s="5" t="s">
        <v>11</v>
      </c>
      <c r="C40" s="5" t="s">
        <v>36</v>
      </c>
      <c r="D40" s="5" t="s">
        <v>40</v>
      </c>
      <c r="E40" s="5"/>
      <c r="F40" s="5" t="s">
        <v>52</v>
      </c>
      <c r="G40" s="5" t="s">
        <v>96</v>
      </c>
      <c r="H40" s="5" t="s">
        <v>97</v>
      </c>
      <c r="I40" s="5"/>
      <c r="J40" s="5"/>
      <c r="K40" s="5">
        <f>Table1[[#This Row],[W]]*Table1[[#This Row],[H]]</f>
        <v>0</v>
      </c>
      <c r="L40" s="5"/>
      <c r="M40" s="5">
        <v>30</v>
      </c>
      <c r="N40" s="12"/>
      <c r="O40" s="7"/>
      <c r="P40" s="7"/>
    </row>
    <row r="41" spans="1:16" ht="22.5" customHeight="1" x14ac:dyDescent="0.25">
      <c r="A41" s="5" t="s">
        <v>10</v>
      </c>
      <c r="B41" s="5" t="s">
        <v>11</v>
      </c>
      <c r="C41" s="5" t="s">
        <v>88</v>
      </c>
      <c r="D41" s="5" t="s">
        <v>40</v>
      </c>
      <c r="E41" s="5"/>
      <c r="F41" s="5" t="s">
        <v>58</v>
      </c>
      <c r="G41" s="5" t="s">
        <v>16</v>
      </c>
      <c r="H41" s="5" t="s">
        <v>98</v>
      </c>
      <c r="I41" s="5"/>
      <c r="J41" s="5"/>
      <c r="K41" s="5">
        <f>Table1[[#This Row],[W]]*Table1[[#This Row],[H]]</f>
        <v>0</v>
      </c>
      <c r="L41" s="5"/>
      <c r="M41" s="5">
        <v>30</v>
      </c>
      <c r="N41" s="12"/>
      <c r="O41" s="7"/>
      <c r="P41" s="7"/>
    </row>
    <row r="42" spans="1:16" ht="22.5" customHeight="1" x14ac:dyDescent="0.25">
      <c r="A42" s="5" t="s">
        <v>10</v>
      </c>
      <c r="B42" s="5" t="s">
        <v>11</v>
      </c>
      <c r="C42" s="5" t="s">
        <v>36</v>
      </c>
      <c r="D42" s="5" t="s">
        <v>40</v>
      </c>
      <c r="E42" s="5"/>
      <c r="F42" s="5" t="s">
        <v>52</v>
      </c>
      <c r="G42" s="5" t="s">
        <v>70</v>
      </c>
      <c r="H42" s="5" t="s">
        <v>99</v>
      </c>
      <c r="I42" s="5"/>
      <c r="J42" s="5"/>
      <c r="K42" s="5">
        <f>Table1[[#This Row],[W]]*Table1[[#This Row],[H]]</f>
        <v>0</v>
      </c>
      <c r="L42" s="5"/>
      <c r="M42" s="5">
        <v>30</v>
      </c>
      <c r="N42" s="12"/>
      <c r="O42" s="7"/>
      <c r="P42" s="7"/>
    </row>
    <row r="43" spans="1:16" ht="22.5" customHeight="1" x14ac:dyDescent="0.25">
      <c r="A43" s="5" t="s">
        <v>10</v>
      </c>
      <c r="B43" s="5" t="s">
        <v>11</v>
      </c>
      <c r="C43" s="5" t="s">
        <v>36</v>
      </c>
      <c r="D43" s="5" t="s">
        <v>40</v>
      </c>
      <c r="E43" s="5"/>
      <c r="F43" s="5" t="s">
        <v>52</v>
      </c>
      <c r="G43" s="5" t="s">
        <v>70</v>
      </c>
      <c r="H43" s="5" t="s">
        <v>100</v>
      </c>
      <c r="I43" s="5"/>
      <c r="J43" s="5"/>
      <c r="K43" s="5">
        <f>Table1[[#This Row],[W]]*Table1[[#This Row],[H]]</f>
        <v>0</v>
      </c>
      <c r="L43" s="5"/>
      <c r="M43" s="5">
        <v>30</v>
      </c>
      <c r="N43" s="12"/>
      <c r="O43" s="7"/>
      <c r="P43" s="7"/>
    </row>
    <row r="44" spans="1:16" ht="22.5" customHeight="1" x14ac:dyDescent="0.25">
      <c r="A44" s="5" t="s">
        <v>10</v>
      </c>
      <c r="B44" s="5" t="s">
        <v>11</v>
      </c>
      <c r="C44" s="5" t="s">
        <v>36</v>
      </c>
      <c r="D44" s="5" t="s">
        <v>40</v>
      </c>
      <c r="E44" s="5"/>
      <c r="F44" s="5" t="s">
        <v>52</v>
      </c>
      <c r="G44" s="5" t="s">
        <v>101</v>
      </c>
      <c r="H44" s="5" t="s">
        <v>102</v>
      </c>
      <c r="I44" s="5"/>
      <c r="J44" s="5"/>
      <c r="K44" s="5">
        <f>Table1[[#This Row],[W]]*Table1[[#This Row],[H]]</f>
        <v>0</v>
      </c>
      <c r="L44" s="5"/>
      <c r="M44" s="5">
        <v>30</v>
      </c>
      <c r="N44" s="12"/>
      <c r="O44" s="7"/>
      <c r="P44" s="7"/>
    </row>
    <row r="45" spans="1:16" ht="22.5" customHeight="1" x14ac:dyDescent="0.25">
      <c r="A45" s="5" t="s">
        <v>10</v>
      </c>
      <c r="B45" s="5" t="s">
        <v>11</v>
      </c>
      <c r="C45" s="5" t="s">
        <v>88</v>
      </c>
      <c r="D45" s="5" t="s">
        <v>40</v>
      </c>
      <c r="E45" s="5"/>
      <c r="F45" s="5" t="s">
        <v>58</v>
      </c>
      <c r="G45" s="5" t="s">
        <v>14</v>
      </c>
      <c r="H45" s="5" t="s">
        <v>103</v>
      </c>
      <c r="I45" s="5"/>
      <c r="J45" s="5"/>
      <c r="K45" s="5">
        <f>Table1[[#This Row],[W]]*Table1[[#This Row],[H]]</f>
        <v>0</v>
      </c>
      <c r="L45" s="5"/>
      <c r="M45" s="5">
        <v>30</v>
      </c>
      <c r="N45" s="12"/>
      <c r="O45" s="7"/>
      <c r="P45" s="7"/>
    </row>
    <row r="46" spans="1:16" ht="22.5" customHeight="1" x14ac:dyDescent="0.25">
      <c r="A46" s="5" t="s">
        <v>10</v>
      </c>
      <c r="B46" s="5" t="s">
        <v>11</v>
      </c>
      <c r="C46" s="5" t="s">
        <v>51</v>
      </c>
      <c r="D46" s="5" t="s">
        <v>40</v>
      </c>
      <c r="E46" s="5"/>
      <c r="F46" s="5" t="s">
        <v>52</v>
      </c>
      <c r="G46" s="5" t="s">
        <v>54</v>
      </c>
      <c r="H46" s="5" t="s">
        <v>104</v>
      </c>
      <c r="I46" s="5"/>
      <c r="J46" s="5"/>
      <c r="K46" s="5">
        <f>Table1[[#This Row],[W]]*Table1[[#This Row],[H]]</f>
        <v>0</v>
      </c>
      <c r="L46" s="5"/>
      <c r="M46" s="5">
        <v>30</v>
      </c>
      <c r="N46" s="12"/>
      <c r="O46" s="7"/>
      <c r="P46" s="7"/>
    </row>
    <row r="47" spans="1:16" ht="22.5" customHeight="1" x14ac:dyDescent="0.25">
      <c r="A47" s="5" t="s">
        <v>10</v>
      </c>
      <c r="B47" s="5" t="s">
        <v>11</v>
      </c>
      <c r="C47" s="5" t="s">
        <v>72</v>
      </c>
      <c r="D47" s="5" t="s">
        <v>40</v>
      </c>
      <c r="E47" s="5"/>
      <c r="F47" s="5" t="s">
        <v>52</v>
      </c>
      <c r="G47" s="5" t="s">
        <v>54</v>
      </c>
      <c r="H47" s="5" t="s">
        <v>105</v>
      </c>
      <c r="I47" s="5"/>
      <c r="J47" s="5"/>
      <c r="K47" s="5">
        <f>Table1[[#This Row],[W]]*Table1[[#This Row],[H]]</f>
        <v>0</v>
      </c>
      <c r="L47" s="5"/>
      <c r="M47" s="5">
        <v>30</v>
      </c>
      <c r="N47" s="12"/>
      <c r="O47" s="7"/>
      <c r="P47" s="7"/>
    </row>
    <row r="48" spans="1:16" ht="22.5" customHeight="1" x14ac:dyDescent="0.25">
      <c r="A48" s="5" t="s">
        <v>10</v>
      </c>
      <c r="B48" s="5" t="s">
        <v>11</v>
      </c>
      <c r="C48" s="5" t="s">
        <v>51</v>
      </c>
      <c r="D48" s="5" t="s">
        <v>40</v>
      </c>
      <c r="E48" s="5"/>
      <c r="F48" s="5" t="s">
        <v>52</v>
      </c>
      <c r="G48" s="5" t="s">
        <v>54</v>
      </c>
      <c r="H48" s="5" t="s">
        <v>106</v>
      </c>
      <c r="I48" s="5"/>
      <c r="J48" s="5"/>
      <c r="K48" s="5">
        <f>Table1[[#This Row],[W]]*Table1[[#This Row],[H]]</f>
        <v>0</v>
      </c>
      <c r="L48" s="5"/>
      <c r="M48" s="5">
        <v>30</v>
      </c>
      <c r="N48" s="12"/>
      <c r="O48" s="7"/>
      <c r="P48" s="7"/>
    </row>
    <row r="49" spans="1:16" ht="22.5" customHeight="1" x14ac:dyDescent="0.25">
      <c r="A49" s="5" t="s">
        <v>10</v>
      </c>
      <c r="B49" s="5" t="s">
        <v>11</v>
      </c>
      <c r="C49" s="5" t="s">
        <v>107</v>
      </c>
      <c r="D49" s="5" t="s">
        <v>40</v>
      </c>
      <c r="E49" s="5"/>
      <c r="F49" s="5" t="s">
        <v>52</v>
      </c>
      <c r="G49" s="5" t="s">
        <v>54</v>
      </c>
      <c r="H49" s="5" t="s">
        <v>108</v>
      </c>
      <c r="I49" s="5"/>
      <c r="J49" s="5"/>
      <c r="K49" s="5">
        <f>Table1[[#This Row],[W]]*Table1[[#This Row],[H]]</f>
        <v>0</v>
      </c>
      <c r="L49" s="5"/>
      <c r="M49" s="5">
        <v>30</v>
      </c>
      <c r="N49" s="12"/>
      <c r="O49" s="7"/>
      <c r="P49" s="7"/>
    </row>
    <row r="50" spans="1:16" ht="22.5" customHeight="1" x14ac:dyDescent="0.25">
      <c r="A50" s="5" t="s">
        <v>10</v>
      </c>
      <c r="B50" s="5" t="s">
        <v>11</v>
      </c>
      <c r="C50" s="5" t="s">
        <v>72</v>
      </c>
      <c r="D50" s="5" t="s">
        <v>40</v>
      </c>
      <c r="E50" s="5"/>
      <c r="F50" s="5" t="s">
        <v>52</v>
      </c>
      <c r="G50" s="5" t="s">
        <v>54</v>
      </c>
      <c r="H50" s="5" t="s">
        <v>109</v>
      </c>
      <c r="I50" s="5"/>
      <c r="J50" s="5"/>
      <c r="K50" s="5">
        <f>Table1[[#This Row],[W]]*Table1[[#This Row],[H]]</f>
        <v>0</v>
      </c>
      <c r="L50" s="5"/>
      <c r="M50" s="5">
        <v>30</v>
      </c>
      <c r="N50" s="12"/>
      <c r="O50" s="7"/>
      <c r="P50" s="7"/>
    </row>
    <row r="51" spans="1:16" ht="22.5" customHeight="1" x14ac:dyDescent="0.25">
      <c r="A51" s="5" t="s">
        <v>10</v>
      </c>
      <c r="B51" s="5" t="s">
        <v>11</v>
      </c>
      <c r="C51" s="5" t="s">
        <v>110</v>
      </c>
      <c r="D51" s="5" t="s">
        <v>40</v>
      </c>
      <c r="E51" s="5"/>
      <c r="F51" s="5" t="s">
        <v>58</v>
      </c>
      <c r="G51" s="5" t="s">
        <v>16</v>
      </c>
      <c r="H51" s="5" t="s">
        <v>111</v>
      </c>
      <c r="I51" s="5"/>
      <c r="J51" s="5"/>
      <c r="K51" s="5">
        <f>Table1[[#This Row],[W]]*Table1[[#This Row],[H]]</f>
        <v>0</v>
      </c>
      <c r="L51" s="5"/>
      <c r="M51" s="5">
        <v>30</v>
      </c>
      <c r="N51" s="12"/>
      <c r="O51" s="7"/>
      <c r="P51" s="7"/>
    </row>
    <row r="52" spans="1:16" ht="22.5" customHeight="1" x14ac:dyDescent="0.25">
      <c r="A52" s="5" t="s">
        <v>10</v>
      </c>
      <c r="B52" s="5" t="s">
        <v>11</v>
      </c>
      <c r="C52" s="5"/>
      <c r="D52" s="5" t="s">
        <v>40</v>
      </c>
      <c r="E52" s="5"/>
      <c r="F52" s="5" t="s">
        <v>58</v>
      </c>
      <c r="G52" s="5" t="s">
        <v>16</v>
      </c>
      <c r="H52" s="5" t="s">
        <v>112</v>
      </c>
      <c r="I52" s="5"/>
      <c r="J52" s="5"/>
      <c r="K52" s="5">
        <f>Table1[[#This Row],[W]]*Table1[[#This Row],[H]]</f>
        <v>0</v>
      </c>
      <c r="L52" s="5"/>
      <c r="M52" s="5">
        <v>30</v>
      </c>
      <c r="N52" s="12"/>
      <c r="O52" s="7"/>
      <c r="P52" s="7"/>
    </row>
    <row r="53" spans="1:16" ht="22.5" customHeight="1" x14ac:dyDescent="0.25">
      <c r="A53" s="5" t="s">
        <v>10</v>
      </c>
      <c r="B53" s="5" t="s">
        <v>11</v>
      </c>
      <c r="C53" s="5" t="s">
        <v>113</v>
      </c>
      <c r="D53" s="5" t="s">
        <v>40</v>
      </c>
      <c r="E53" s="5"/>
      <c r="F53" s="5" t="s">
        <v>52</v>
      </c>
      <c r="G53" s="5" t="s">
        <v>114</v>
      </c>
      <c r="H53" s="5" t="s">
        <v>115</v>
      </c>
      <c r="I53" s="5"/>
      <c r="J53" s="5"/>
      <c r="K53" s="5">
        <f>Table1[[#This Row],[W]]*Table1[[#This Row],[H]]</f>
        <v>0</v>
      </c>
      <c r="L53" s="5"/>
      <c r="M53" s="5">
        <v>30</v>
      </c>
      <c r="N53" s="12"/>
      <c r="O53" s="7"/>
      <c r="P53" s="7"/>
    </row>
    <row r="54" spans="1:16" ht="22.5" customHeight="1" x14ac:dyDescent="0.25">
      <c r="A54" s="5" t="s">
        <v>10</v>
      </c>
      <c r="B54" s="5" t="s">
        <v>11</v>
      </c>
      <c r="C54" s="5"/>
      <c r="D54" s="5" t="s">
        <v>40</v>
      </c>
      <c r="E54" s="5"/>
      <c r="F54" s="5" t="s">
        <v>116</v>
      </c>
      <c r="G54" s="5" t="s">
        <v>16</v>
      </c>
      <c r="H54" s="5" t="s">
        <v>117</v>
      </c>
      <c r="I54" s="5"/>
      <c r="J54" s="5"/>
      <c r="K54" s="5">
        <f>Table1[[#This Row],[W]]*Table1[[#This Row],[H]]</f>
        <v>0</v>
      </c>
      <c r="L54" s="5"/>
      <c r="M54" s="5">
        <v>30</v>
      </c>
      <c r="N54" s="12"/>
      <c r="O54" s="7"/>
      <c r="P54" s="7"/>
    </row>
    <row r="55" spans="1:16" ht="22.5" customHeight="1" x14ac:dyDescent="0.25">
      <c r="A55" s="5" t="s">
        <v>10</v>
      </c>
      <c r="B55" s="5" t="s">
        <v>11</v>
      </c>
      <c r="C55" s="5" t="s">
        <v>118</v>
      </c>
      <c r="D55" s="5" t="s">
        <v>40</v>
      </c>
      <c r="E55" s="5"/>
      <c r="F55" s="5" t="s">
        <v>58</v>
      </c>
      <c r="G55" s="5" t="s">
        <v>21</v>
      </c>
      <c r="H55" s="5" t="s">
        <v>119</v>
      </c>
      <c r="I55" s="5"/>
      <c r="J55" s="5"/>
      <c r="K55" s="5">
        <f>Table1[[#This Row],[W]]*Table1[[#This Row],[H]]</f>
        <v>0</v>
      </c>
      <c r="L55" s="5"/>
      <c r="M55" s="5">
        <v>30</v>
      </c>
      <c r="N55" s="12"/>
      <c r="O55" s="7"/>
      <c r="P55" s="7"/>
    </row>
    <row r="56" spans="1:16" ht="22.5" customHeight="1" x14ac:dyDescent="0.25">
      <c r="A56" s="5" t="s">
        <v>10</v>
      </c>
      <c r="B56" s="5" t="s">
        <v>38</v>
      </c>
      <c r="C56" s="5" t="s">
        <v>120</v>
      </c>
      <c r="D56" s="5" t="s">
        <v>121</v>
      </c>
      <c r="E56" s="5"/>
      <c r="F56" s="5" t="s">
        <v>52</v>
      </c>
      <c r="G56" s="5" t="s">
        <v>122</v>
      </c>
      <c r="H56" s="5" t="s">
        <v>123</v>
      </c>
      <c r="I56" s="5"/>
      <c r="J56" s="5"/>
      <c r="K56" s="5">
        <f>Table1[[#This Row],[W]]*Table1[[#This Row],[H]]</f>
        <v>0</v>
      </c>
      <c r="L56" s="5"/>
      <c r="M56" s="5">
        <v>30</v>
      </c>
      <c r="N56" s="12">
        <v>46189</v>
      </c>
      <c r="O56" s="7">
        <f t="shared" ref="O56:P56" si="2">N56+15</f>
        <v>46204</v>
      </c>
      <c r="P56" s="7">
        <f t="shared" si="2"/>
        <v>46219</v>
      </c>
    </row>
    <row r="57" spans="1:16" ht="22.5" customHeight="1" x14ac:dyDescent="0.25">
      <c r="A57" s="5" t="s">
        <v>10</v>
      </c>
      <c r="B57" s="5" t="s">
        <v>38</v>
      </c>
      <c r="C57" s="5" t="s">
        <v>120</v>
      </c>
      <c r="D57" s="5" t="s">
        <v>121</v>
      </c>
      <c r="E57" s="5"/>
      <c r="F57" s="5" t="s">
        <v>52</v>
      </c>
      <c r="G57" s="5" t="s">
        <v>122</v>
      </c>
      <c r="H57" s="5" t="s">
        <v>124</v>
      </c>
      <c r="I57" s="5"/>
      <c r="J57" s="5"/>
      <c r="K57" s="5">
        <f>Table1[[#This Row],[W]]*Table1[[#This Row],[H]]</f>
        <v>0</v>
      </c>
      <c r="L57" s="5"/>
      <c r="M57" s="5">
        <v>30</v>
      </c>
      <c r="N57" s="12">
        <v>46189</v>
      </c>
      <c r="O57" s="7">
        <f t="shared" ref="O57:P57" si="3">N57+15</f>
        <v>46204</v>
      </c>
      <c r="P57" s="7">
        <f t="shared" si="3"/>
        <v>46219</v>
      </c>
    </row>
    <row r="58" spans="1:16" ht="22.5" customHeight="1" x14ac:dyDescent="0.25">
      <c r="A58" s="5" t="s">
        <v>10</v>
      </c>
      <c r="B58" s="5" t="s">
        <v>38</v>
      </c>
      <c r="C58" s="5" t="s">
        <v>120</v>
      </c>
      <c r="D58" s="5" t="s">
        <v>121</v>
      </c>
      <c r="E58" s="5"/>
      <c r="F58" s="5" t="s">
        <v>52</v>
      </c>
      <c r="G58" s="5" t="s">
        <v>122</v>
      </c>
      <c r="H58" s="5" t="s">
        <v>125</v>
      </c>
      <c r="I58" s="5"/>
      <c r="J58" s="5"/>
      <c r="K58" s="5">
        <f>Table1[[#This Row],[W]]*Table1[[#This Row],[H]]</f>
        <v>0</v>
      </c>
      <c r="L58" s="5"/>
      <c r="M58" s="5">
        <v>30</v>
      </c>
      <c r="N58" s="12">
        <v>46189</v>
      </c>
      <c r="O58" s="7">
        <f t="shared" ref="O58:P58" si="4">N58+15</f>
        <v>46204</v>
      </c>
      <c r="P58" s="7">
        <f t="shared" si="4"/>
        <v>46219</v>
      </c>
    </row>
    <row r="59" spans="1:16" ht="22.5" customHeight="1" x14ac:dyDescent="0.25">
      <c r="A59" s="5" t="s">
        <v>10</v>
      </c>
      <c r="B59" s="5" t="s">
        <v>38</v>
      </c>
      <c r="C59" s="5" t="s">
        <v>120</v>
      </c>
      <c r="D59" s="5" t="s">
        <v>121</v>
      </c>
      <c r="E59" s="5"/>
      <c r="F59" s="5" t="s">
        <v>52</v>
      </c>
      <c r="G59" s="5" t="s">
        <v>122</v>
      </c>
      <c r="H59" s="5" t="s">
        <v>126</v>
      </c>
      <c r="I59" s="5"/>
      <c r="J59" s="5"/>
      <c r="K59" s="5">
        <f>Table1[[#This Row],[W]]*Table1[[#This Row],[H]]</f>
        <v>0</v>
      </c>
      <c r="L59" s="5"/>
      <c r="M59" s="5">
        <v>30</v>
      </c>
      <c r="N59" s="12">
        <v>46189</v>
      </c>
      <c r="O59" s="7">
        <f t="shared" ref="O59:P59" si="5">N59+15</f>
        <v>46204</v>
      </c>
      <c r="P59" s="7">
        <f t="shared" si="5"/>
        <v>46219</v>
      </c>
    </row>
    <row r="60" spans="1:16" ht="22.5" customHeight="1" x14ac:dyDescent="0.25">
      <c r="A60" s="5" t="s">
        <v>10</v>
      </c>
      <c r="B60" s="5" t="s">
        <v>38</v>
      </c>
      <c r="C60" s="5" t="s">
        <v>120</v>
      </c>
      <c r="D60" s="5" t="s">
        <v>121</v>
      </c>
      <c r="E60" s="5"/>
      <c r="F60" s="5" t="s">
        <v>52</v>
      </c>
      <c r="G60" s="5" t="s">
        <v>122</v>
      </c>
      <c r="H60" s="5" t="s">
        <v>127</v>
      </c>
      <c r="I60" s="5"/>
      <c r="J60" s="5"/>
      <c r="K60" s="5">
        <f>Table1[[#This Row],[W]]*Table1[[#This Row],[H]]</f>
        <v>0</v>
      </c>
      <c r="L60" s="5"/>
      <c r="M60" s="5">
        <v>30</v>
      </c>
      <c r="N60" s="12">
        <v>46189</v>
      </c>
      <c r="O60" s="7">
        <f t="shared" ref="O60:P60" si="6">N60+15</f>
        <v>46204</v>
      </c>
      <c r="P60" s="7">
        <f t="shared" si="6"/>
        <v>46219</v>
      </c>
    </row>
    <row r="61" spans="1:16" ht="22.5" customHeight="1" x14ac:dyDescent="0.25">
      <c r="A61" s="5" t="s">
        <v>10</v>
      </c>
      <c r="B61" s="5" t="s">
        <v>38</v>
      </c>
      <c r="C61" s="5" t="s">
        <v>120</v>
      </c>
      <c r="D61" s="5" t="s">
        <v>121</v>
      </c>
      <c r="E61" s="5"/>
      <c r="F61" s="5" t="s">
        <v>52</v>
      </c>
      <c r="G61" s="5" t="s">
        <v>122</v>
      </c>
      <c r="H61" s="5" t="s">
        <v>128</v>
      </c>
      <c r="I61" s="5"/>
      <c r="J61" s="5"/>
      <c r="K61" s="5">
        <f>Table1[[#This Row],[W]]*Table1[[#This Row],[H]]</f>
        <v>0</v>
      </c>
      <c r="L61" s="5"/>
      <c r="M61" s="5">
        <v>30</v>
      </c>
      <c r="N61" s="12">
        <v>46189</v>
      </c>
      <c r="O61" s="7">
        <f t="shared" ref="O61:P61" si="7">N61+15</f>
        <v>46204</v>
      </c>
      <c r="P61" s="7">
        <f t="shared" si="7"/>
        <v>46219</v>
      </c>
    </row>
    <row r="62" spans="1:16" ht="22.5" customHeight="1" x14ac:dyDescent="0.25">
      <c r="A62" s="5" t="s">
        <v>10</v>
      </c>
      <c r="B62" s="5" t="s">
        <v>38</v>
      </c>
      <c r="C62" s="5" t="s">
        <v>120</v>
      </c>
      <c r="D62" s="5" t="s">
        <v>121</v>
      </c>
      <c r="E62" s="5"/>
      <c r="F62" s="5" t="s">
        <v>52</v>
      </c>
      <c r="G62" s="5" t="s">
        <v>122</v>
      </c>
      <c r="H62" s="5" t="s">
        <v>129</v>
      </c>
      <c r="I62" s="5"/>
      <c r="J62" s="5"/>
      <c r="K62" s="5">
        <f>Table1[[#This Row],[W]]*Table1[[#This Row],[H]]</f>
        <v>0</v>
      </c>
      <c r="L62" s="5"/>
      <c r="M62" s="5">
        <v>30</v>
      </c>
      <c r="N62" s="12">
        <v>46189</v>
      </c>
      <c r="O62" s="7">
        <f t="shared" ref="O62:P62" si="8">N62+15</f>
        <v>46204</v>
      </c>
      <c r="P62" s="7">
        <f t="shared" si="8"/>
        <v>46219</v>
      </c>
    </row>
    <row r="63" spans="1:16" ht="22.5" customHeight="1" x14ac:dyDescent="0.25">
      <c r="A63" s="5" t="s">
        <v>10</v>
      </c>
      <c r="B63" s="5" t="s">
        <v>38</v>
      </c>
      <c r="C63" s="5" t="s">
        <v>120</v>
      </c>
      <c r="D63" s="5" t="s">
        <v>121</v>
      </c>
      <c r="E63" s="5"/>
      <c r="F63" s="5" t="s">
        <v>52</v>
      </c>
      <c r="G63" s="5" t="s">
        <v>122</v>
      </c>
      <c r="H63" s="5" t="s">
        <v>130</v>
      </c>
      <c r="I63" s="5"/>
      <c r="J63" s="5"/>
      <c r="K63" s="5">
        <f>Table1[[#This Row],[W]]*Table1[[#This Row],[H]]</f>
        <v>0</v>
      </c>
      <c r="L63" s="5"/>
      <c r="M63" s="5">
        <v>30</v>
      </c>
      <c r="N63" s="12">
        <v>46189</v>
      </c>
      <c r="O63" s="7">
        <f t="shared" ref="O63:P63" si="9">N63+15</f>
        <v>46204</v>
      </c>
      <c r="P63" s="7">
        <f t="shared" si="9"/>
        <v>46219</v>
      </c>
    </row>
    <row r="64" spans="1:16" ht="22.5" customHeight="1" x14ac:dyDescent="0.25">
      <c r="A64" s="5" t="s">
        <v>10</v>
      </c>
      <c r="B64" s="5" t="s">
        <v>38</v>
      </c>
      <c r="C64" s="5" t="s">
        <v>120</v>
      </c>
      <c r="D64" s="5" t="s">
        <v>121</v>
      </c>
      <c r="E64" s="5"/>
      <c r="F64" s="5" t="s">
        <v>52</v>
      </c>
      <c r="G64" s="5" t="s">
        <v>122</v>
      </c>
      <c r="H64" s="5" t="s">
        <v>131</v>
      </c>
      <c r="I64" s="5"/>
      <c r="J64" s="5"/>
      <c r="K64" s="5">
        <f>Table1[[#This Row],[W]]*Table1[[#This Row],[H]]</f>
        <v>0</v>
      </c>
      <c r="L64" s="5"/>
      <c r="M64" s="5">
        <v>30</v>
      </c>
      <c r="N64" s="12">
        <v>46189</v>
      </c>
      <c r="O64" s="7">
        <f t="shared" ref="O64:P64" si="10">N64+15</f>
        <v>46204</v>
      </c>
      <c r="P64" s="7">
        <f t="shared" si="10"/>
        <v>46219</v>
      </c>
    </row>
    <row r="65" spans="1:16" ht="22.5" customHeight="1" x14ac:dyDescent="0.25">
      <c r="A65" s="5" t="s">
        <v>10</v>
      </c>
      <c r="B65" s="5" t="s">
        <v>38</v>
      </c>
      <c r="C65" s="5" t="s">
        <v>120</v>
      </c>
      <c r="D65" s="5" t="s">
        <v>121</v>
      </c>
      <c r="E65" s="5"/>
      <c r="F65" s="5" t="s">
        <v>52</v>
      </c>
      <c r="G65" s="5" t="s">
        <v>122</v>
      </c>
      <c r="H65" s="5" t="s">
        <v>132</v>
      </c>
      <c r="I65" s="5"/>
      <c r="J65" s="5"/>
      <c r="K65" s="5">
        <f>Table1[[#This Row],[W]]*Table1[[#This Row],[H]]</f>
        <v>0</v>
      </c>
      <c r="L65" s="5"/>
      <c r="M65" s="5">
        <v>30</v>
      </c>
      <c r="N65" s="12">
        <v>46189</v>
      </c>
      <c r="O65" s="7">
        <f t="shared" ref="O65:P65" si="11">N65+15</f>
        <v>46204</v>
      </c>
      <c r="P65" s="7">
        <f t="shared" si="11"/>
        <v>46219</v>
      </c>
    </row>
    <row r="66" spans="1:16" ht="22.5" customHeight="1" x14ac:dyDescent="0.25">
      <c r="A66" s="5" t="s">
        <v>10</v>
      </c>
      <c r="B66" s="5" t="s">
        <v>38</v>
      </c>
      <c r="C66" s="5" t="s">
        <v>120</v>
      </c>
      <c r="D66" s="5" t="s">
        <v>121</v>
      </c>
      <c r="E66" s="5"/>
      <c r="F66" s="5" t="s">
        <v>52</v>
      </c>
      <c r="G66" s="5" t="s">
        <v>122</v>
      </c>
      <c r="H66" s="5" t="s">
        <v>133</v>
      </c>
      <c r="I66" s="5"/>
      <c r="J66" s="5"/>
      <c r="K66" s="5">
        <f>Table1[[#This Row],[W]]*Table1[[#This Row],[H]]</f>
        <v>0</v>
      </c>
      <c r="L66" s="5"/>
      <c r="M66" s="5">
        <v>30</v>
      </c>
      <c r="N66" s="12">
        <v>46189</v>
      </c>
      <c r="O66" s="7">
        <f t="shared" ref="O66:P66" si="12">N66+15</f>
        <v>46204</v>
      </c>
      <c r="P66" s="7">
        <f t="shared" si="12"/>
        <v>46219</v>
      </c>
    </row>
    <row r="67" spans="1:16" ht="22.5" customHeight="1" x14ac:dyDescent="0.25">
      <c r="A67" s="5" t="s">
        <v>10</v>
      </c>
      <c r="B67" s="5" t="s">
        <v>38</v>
      </c>
      <c r="C67" s="5" t="s">
        <v>120</v>
      </c>
      <c r="D67" s="5" t="s">
        <v>121</v>
      </c>
      <c r="E67" s="5"/>
      <c r="F67" s="5" t="s">
        <v>52</v>
      </c>
      <c r="G67" s="5" t="s">
        <v>122</v>
      </c>
      <c r="H67" s="5" t="s">
        <v>134</v>
      </c>
      <c r="I67" s="5"/>
      <c r="J67" s="5"/>
      <c r="K67" s="5">
        <f>Table1[[#This Row],[W]]*Table1[[#This Row],[H]]</f>
        <v>0</v>
      </c>
      <c r="L67" s="5"/>
      <c r="M67" s="5">
        <v>30</v>
      </c>
      <c r="N67" s="12">
        <v>46189</v>
      </c>
      <c r="O67" s="7">
        <f t="shared" ref="O67:P67" si="13">N67+15</f>
        <v>46204</v>
      </c>
      <c r="P67" s="7">
        <f t="shared" si="13"/>
        <v>46219</v>
      </c>
    </row>
    <row r="68" spans="1:16" ht="22.5" customHeight="1" x14ac:dyDescent="0.25">
      <c r="A68" s="5" t="s">
        <v>10</v>
      </c>
      <c r="B68" s="5" t="s">
        <v>38</v>
      </c>
      <c r="C68" s="5" t="s">
        <v>120</v>
      </c>
      <c r="D68" s="5" t="s">
        <v>121</v>
      </c>
      <c r="E68" s="5"/>
      <c r="F68" s="5" t="s">
        <v>52</v>
      </c>
      <c r="G68" s="5" t="s">
        <v>122</v>
      </c>
      <c r="H68" s="5" t="s">
        <v>135</v>
      </c>
      <c r="I68" s="5"/>
      <c r="J68" s="5"/>
      <c r="K68" s="5">
        <f>Table1[[#This Row],[W]]*Table1[[#This Row],[H]]</f>
        <v>0</v>
      </c>
      <c r="L68" s="5"/>
      <c r="M68" s="5">
        <v>30</v>
      </c>
      <c r="N68" s="12">
        <v>46189</v>
      </c>
      <c r="O68" s="7">
        <f t="shared" ref="O68:P68" si="14">N68+15</f>
        <v>46204</v>
      </c>
      <c r="P68" s="7">
        <f t="shared" si="14"/>
        <v>46219</v>
      </c>
    </row>
    <row r="69" spans="1:16" ht="22.5" customHeight="1" x14ac:dyDescent="0.25">
      <c r="A69" s="5" t="s">
        <v>10</v>
      </c>
      <c r="B69" s="5" t="s">
        <v>38</v>
      </c>
      <c r="C69" s="5" t="s">
        <v>120</v>
      </c>
      <c r="D69" s="5" t="s">
        <v>121</v>
      </c>
      <c r="E69" s="5"/>
      <c r="F69" s="5" t="s">
        <v>52</v>
      </c>
      <c r="G69" s="5" t="s">
        <v>122</v>
      </c>
      <c r="H69" s="5" t="s">
        <v>137</v>
      </c>
      <c r="I69" s="5"/>
      <c r="J69" s="5"/>
      <c r="K69" s="5">
        <f>Table1[[#This Row],[W]]*Table1[[#This Row],[H]]</f>
        <v>0</v>
      </c>
      <c r="L69" s="5"/>
      <c r="M69" s="5">
        <v>30</v>
      </c>
      <c r="N69" s="12">
        <v>46189</v>
      </c>
      <c r="O69" s="7">
        <f t="shared" ref="O69:P69" si="15">N69+15</f>
        <v>46204</v>
      </c>
      <c r="P69" s="7">
        <f t="shared" si="15"/>
        <v>46219</v>
      </c>
    </row>
    <row r="70" spans="1:16" ht="22.5" customHeight="1" x14ac:dyDescent="0.25">
      <c r="A70" s="5" t="s">
        <v>10</v>
      </c>
      <c r="B70" s="5" t="s">
        <v>38</v>
      </c>
      <c r="C70" s="5" t="s">
        <v>120</v>
      </c>
      <c r="D70" s="5" t="s">
        <v>121</v>
      </c>
      <c r="E70" s="5"/>
      <c r="F70" s="5" t="s">
        <v>52</v>
      </c>
      <c r="G70" s="5" t="s">
        <v>122</v>
      </c>
      <c r="H70" s="5" t="s">
        <v>138</v>
      </c>
      <c r="I70" s="5"/>
      <c r="J70" s="5"/>
      <c r="K70" s="5">
        <f>Table1[[#This Row],[W]]*Table1[[#This Row],[H]]</f>
        <v>0</v>
      </c>
      <c r="L70" s="5"/>
      <c r="M70" s="5">
        <v>30</v>
      </c>
      <c r="N70" s="12">
        <v>46189</v>
      </c>
      <c r="O70" s="7">
        <f t="shared" ref="O70:P70" si="16">N70+15</f>
        <v>46204</v>
      </c>
      <c r="P70" s="7">
        <f t="shared" si="16"/>
        <v>46219</v>
      </c>
    </row>
    <row r="71" spans="1:16" ht="22.5" customHeight="1" x14ac:dyDescent="0.25">
      <c r="A71" s="5" t="s">
        <v>10</v>
      </c>
      <c r="B71" s="5" t="s">
        <v>38</v>
      </c>
      <c r="C71" s="5" t="s">
        <v>120</v>
      </c>
      <c r="D71" s="5" t="s">
        <v>121</v>
      </c>
      <c r="E71" s="5"/>
      <c r="F71" s="5" t="s">
        <v>52</v>
      </c>
      <c r="G71" s="5" t="s">
        <v>122</v>
      </c>
      <c r="H71" s="5" t="s">
        <v>139</v>
      </c>
      <c r="I71" s="5"/>
      <c r="J71" s="5"/>
      <c r="K71" s="5">
        <f>Table1[[#This Row],[W]]*Table1[[#This Row],[H]]</f>
        <v>0</v>
      </c>
      <c r="L71" s="5"/>
      <c r="M71" s="5">
        <v>30</v>
      </c>
      <c r="N71" s="12">
        <v>46189</v>
      </c>
      <c r="O71" s="7">
        <f t="shared" ref="O71:P71" si="17">N71+15</f>
        <v>46204</v>
      </c>
      <c r="P71" s="7">
        <f t="shared" si="17"/>
        <v>46219</v>
      </c>
    </row>
    <row r="72" spans="1:16" ht="22.5" customHeight="1" x14ac:dyDescent="0.25">
      <c r="A72" s="5" t="s">
        <v>10</v>
      </c>
      <c r="B72" s="5" t="s">
        <v>38</v>
      </c>
      <c r="C72" s="5" t="s">
        <v>120</v>
      </c>
      <c r="D72" s="5" t="s">
        <v>121</v>
      </c>
      <c r="E72" s="5"/>
      <c r="F72" s="5" t="s">
        <v>52</v>
      </c>
      <c r="G72" s="5" t="s">
        <v>122</v>
      </c>
      <c r="H72" s="5" t="s">
        <v>140</v>
      </c>
      <c r="I72" s="5"/>
      <c r="J72" s="5"/>
      <c r="K72" s="5">
        <f>Table1[[#This Row],[W]]*Table1[[#This Row],[H]]</f>
        <v>0</v>
      </c>
      <c r="L72" s="5"/>
      <c r="M72" s="5">
        <v>30</v>
      </c>
      <c r="N72" s="12">
        <v>46189</v>
      </c>
      <c r="O72" s="7">
        <f t="shared" ref="O72:P72" si="18">N72+15</f>
        <v>46204</v>
      </c>
      <c r="P72" s="7">
        <f t="shared" si="18"/>
        <v>46219</v>
      </c>
    </row>
    <row r="73" spans="1:16" ht="22.5" customHeight="1" x14ac:dyDescent="0.25">
      <c r="A73" s="5" t="s">
        <v>10</v>
      </c>
      <c r="B73" s="5" t="s">
        <v>38</v>
      </c>
      <c r="C73" s="5" t="s">
        <v>120</v>
      </c>
      <c r="D73" s="5" t="s">
        <v>121</v>
      </c>
      <c r="E73" s="5"/>
      <c r="F73" s="5" t="s">
        <v>52</v>
      </c>
      <c r="G73" s="5" t="s">
        <v>122</v>
      </c>
      <c r="H73" s="5" t="s">
        <v>141</v>
      </c>
      <c r="I73" s="5"/>
      <c r="J73" s="5"/>
      <c r="K73" s="5">
        <f>Table1[[#This Row],[W]]*Table1[[#This Row],[H]]</f>
        <v>0</v>
      </c>
      <c r="L73" s="5"/>
      <c r="M73" s="5">
        <v>30</v>
      </c>
      <c r="N73" s="12">
        <v>46189</v>
      </c>
      <c r="O73" s="7">
        <f t="shared" ref="O73:P73" si="19">N73+15</f>
        <v>46204</v>
      </c>
      <c r="P73" s="7">
        <f t="shared" si="19"/>
        <v>46219</v>
      </c>
    </row>
    <row r="74" spans="1:16" ht="22.5" customHeight="1" x14ac:dyDescent="0.25">
      <c r="A74" s="5" t="s">
        <v>10</v>
      </c>
      <c r="B74" s="5" t="s">
        <v>38</v>
      </c>
      <c r="C74" s="5" t="s">
        <v>120</v>
      </c>
      <c r="D74" s="5" t="s">
        <v>121</v>
      </c>
      <c r="E74" s="5"/>
      <c r="F74" s="5" t="s">
        <v>52</v>
      </c>
      <c r="G74" s="5" t="s">
        <v>122</v>
      </c>
      <c r="H74" s="5" t="s">
        <v>142</v>
      </c>
      <c r="I74" s="5"/>
      <c r="J74" s="5"/>
      <c r="K74" s="5">
        <f>Table1[[#This Row],[W]]*Table1[[#This Row],[H]]</f>
        <v>0</v>
      </c>
      <c r="L74" s="5"/>
      <c r="M74" s="5">
        <v>30</v>
      </c>
      <c r="N74" s="12">
        <v>46193</v>
      </c>
      <c r="O74" s="7">
        <f t="shared" ref="O74:P74" si="20">N74+15</f>
        <v>46208</v>
      </c>
      <c r="P74" s="7">
        <f t="shared" si="20"/>
        <v>46223</v>
      </c>
    </row>
    <row r="75" spans="1:16" ht="22.5" customHeight="1" x14ac:dyDescent="0.25">
      <c r="A75" s="5" t="s">
        <v>10</v>
      </c>
      <c r="B75" s="5" t="s">
        <v>38</v>
      </c>
      <c r="C75" s="5" t="s">
        <v>120</v>
      </c>
      <c r="D75" s="5" t="s">
        <v>121</v>
      </c>
      <c r="E75" s="5"/>
      <c r="F75" s="5" t="s">
        <v>52</v>
      </c>
      <c r="G75" s="5" t="s">
        <v>122</v>
      </c>
      <c r="H75" s="5" t="s">
        <v>143</v>
      </c>
      <c r="I75" s="5"/>
      <c r="J75" s="5"/>
      <c r="K75" s="5">
        <f>Table1[[#This Row],[W]]*Table1[[#This Row],[H]]</f>
        <v>0</v>
      </c>
      <c r="L75" s="5"/>
      <c r="M75" s="5">
        <v>30</v>
      </c>
      <c r="N75" s="12">
        <v>46193</v>
      </c>
      <c r="O75" s="7">
        <f t="shared" ref="O75:P75" si="21">N75+15</f>
        <v>46208</v>
      </c>
      <c r="P75" s="7">
        <f t="shared" si="21"/>
        <v>46223</v>
      </c>
    </row>
    <row r="76" spans="1:16" ht="22.5" customHeight="1" x14ac:dyDescent="0.25">
      <c r="A76" s="5" t="s">
        <v>10</v>
      </c>
      <c r="B76" s="5" t="s">
        <v>38</v>
      </c>
      <c r="C76" s="5" t="s">
        <v>120</v>
      </c>
      <c r="D76" s="5" t="s">
        <v>121</v>
      </c>
      <c r="E76" s="5"/>
      <c r="F76" s="5" t="s">
        <v>52</v>
      </c>
      <c r="G76" s="5" t="s">
        <v>122</v>
      </c>
      <c r="H76" s="5" t="s">
        <v>144</v>
      </c>
      <c r="I76" s="5"/>
      <c r="J76" s="5"/>
      <c r="K76" s="5">
        <f>Table1[[#This Row],[W]]*Table1[[#This Row],[H]]</f>
        <v>0</v>
      </c>
      <c r="L76" s="5"/>
      <c r="M76" s="5">
        <v>30</v>
      </c>
      <c r="N76" s="12">
        <v>46193</v>
      </c>
      <c r="O76" s="7">
        <f t="shared" ref="O76:P76" si="22">N76+15</f>
        <v>46208</v>
      </c>
      <c r="P76" s="7">
        <f t="shared" si="22"/>
        <v>46223</v>
      </c>
    </row>
    <row r="77" spans="1:16" ht="22.5" customHeight="1" x14ac:dyDescent="0.25">
      <c r="A77" s="5" t="s">
        <v>10</v>
      </c>
      <c r="B77" s="5" t="s">
        <v>136</v>
      </c>
      <c r="C77" s="5" t="s">
        <v>145</v>
      </c>
      <c r="D77" s="5" t="s">
        <v>146</v>
      </c>
      <c r="E77" s="5"/>
      <c r="F77" s="5" t="s">
        <v>52</v>
      </c>
      <c r="G77" s="5" t="s">
        <v>147</v>
      </c>
      <c r="H77" s="5" t="s">
        <v>148</v>
      </c>
      <c r="I77" s="5"/>
      <c r="J77" s="5"/>
      <c r="K77" s="5">
        <f>Table1[[#This Row],[W]]*Table1[[#This Row],[H]]</f>
        <v>0</v>
      </c>
      <c r="L77" s="5"/>
      <c r="M77" s="5">
        <v>30</v>
      </c>
      <c r="N77" s="12">
        <v>46224</v>
      </c>
      <c r="O77" s="7">
        <f t="shared" ref="O77:O78" si="23">N77+26</f>
        <v>46250</v>
      </c>
      <c r="P77" s="7"/>
    </row>
    <row r="78" spans="1:16" ht="22.5" customHeight="1" x14ac:dyDescent="0.25">
      <c r="A78" s="5" t="s">
        <v>10</v>
      </c>
      <c r="B78" s="5" t="s">
        <v>136</v>
      </c>
      <c r="C78" s="5" t="s">
        <v>149</v>
      </c>
      <c r="D78" s="5" t="s">
        <v>146</v>
      </c>
      <c r="E78" s="5"/>
      <c r="F78" s="5" t="s">
        <v>52</v>
      </c>
      <c r="G78" s="5" t="s">
        <v>147</v>
      </c>
      <c r="H78" s="5" t="s">
        <v>150</v>
      </c>
      <c r="I78" s="5"/>
      <c r="J78" s="5"/>
      <c r="K78" s="5">
        <f>Table1[[#This Row],[W]]*Table1[[#This Row],[H]]</f>
        <v>0</v>
      </c>
      <c r="L78" s="5"/>
      <c r="M78" s="5">
        <v>30</v>
      </c>
      <c r="N78" s="12">
        <v>46224</v>
      </c>
      <c r="O78" s="7">
        <f t="shared" si="23"/>
        <v>46250</v>
      </c>
      <c r="P78" s="7"/>
    </row>
    <row r="79" spans="1:16" ht="22.5" customHeight="1" x14ac:dyDescent="0.25">
      <c r="A79" s="5" t="s">
        <v>10</v>
      </c>
      <c r="B79" s="5" t="s">
        <v>136</v>
      </c>
      <c r="C79" s="5" t="s">
        <v>151</v>
      </c>
      <c r="D79" s="5" t="s">
        <v>146</v>
      </c>
      <c r="E79" s="5"/>
      <c r="F79" s="5" t="s">
        <v>52</v>
      </c>
      <c r="G79" s="5" t="s">
        <v>147</v>
      </c>
      <c r="H79" s="5" t="s">
        <v>152</v>
      </c>
      <c r="I79" s="5"/>
      <c r="J79" s="5"/>
      <c r="K79" s="5">
        <f>Table1[[#This Row],[W]]*Table1[[#This Row],[H]]</f>
        <v>0</v>
      </c>
      <c r="L79" s="5"/>
      <c r="M79" s="5">
        <v>30</v>
      </c>
      <c r="N79" s="12">
        <v>46234</v>
      </c>
      <c r="O79" s="7">
        <f>N79+16</f>
        <v>46250</v>
      </c>
      <c r="P79" s="7"/>
    </row>
    <row r="80" spans="1:16" ht="22.5" customHeight="1" x14ac:dyDescent="0.25">
      <c r="A80" s="5" t="s">
        <v>10</v>
      </c>
      <c r="B80" s="5" t="s">
        <v>136</v>
      </c>
      <c r="C80" s="5" t="s">
        <v>27</v>
      </c>
      <c r="D80" s="5" t="s">
        <v>146</v>
      </c>
      <c r="E80" s="5"/>
      <c r="F80" s="5" t="s">
        <v>52</v>
      </c>
      <c r="G80" s="5" t="s">
        <v>147</v>
      </c>
      <c r="H80" s="5" t="s">
        <v>153</v>
      </c>
      <c r="I80" s="5"/>
      <c r="J80" s="5"/>
      <c r="K80" s="5">
        <f>Table1[[#This Row],[W]]*Table1[[#This Row],[H]]</f>
        <v>0</v>
      </c>
      <c r="L80" s="5"/>
      <c r="M80" s="5">
        <v>30</v>
      </c>
      <c r="N80" s="12">
        <v>46240</v>
      </c>
      <c r="O80" s="7">
        <f>N80+10</f>
        <v>46250</v>
      </c>
      <c r="P80" s="7"/>
    </row>
    <row r="81" spans="1:16" ht="22.5" customHeight="1" x14ac:dyDescent="0.25">
      <c r="A81" s="5" t="s">
        <v>10</v>
      </c>
      <c r="B81" s="5" t="s">
        <v>38</v>
      </c>
      <c r="C81" s="5" t="s">
        <v>120</v>
      </c>
      <c r="D81" s="5" t="s">
        <v>121</v>
      </c>
      <c r="E81" s="5"/>
      <c r="F81" s="5" t="s">
        <v>52</v>
      </c>
      <c r="G81" s="5" t="s">
        <v>122</v>
      </c>
      <c r="H81" s="5" t="s">
        <v>128</v>
      </c>
      <c r="I81" s="5"/>
      <c r="J81" s="5"/>
      <c r="K81" s="5">
        <f>Table1[[#This Row],[W]]*Table1[[#This Row],[H]]</f>
        <v>0</v>
      </c>
      <c r="L81" s="5"/>
      <c r="M81" s="5">
        <v>30</v>
      </c>
      <c r="N81" s="12">
        <v>46220</v>
      </c>
      <c r="O81" s="7">
        <f t="shared" ref="O81:P81" si="24">N81+15</f>
        <v>46235</v>
      </c>
      <c r="P81" s="7">
        <f t="shared" si="24"/>
        <v>46250</v>
      </c>
    </row>
    <row r="82" spans="1:16" ht="22.5" customHeight="1" x14ac:dyDescent="0.25">
      <c r="A82" s="5" t="s">
        <v>10</v>
      </c>
      <c r="B82" s="5" t="s">
        <v>38</v>
      </c>
      <c r="C82" s="5" t="s">
        <v>120</v>
      </c>
      <c r="D82" s="5" t="s">
        <v>121</v>
      </c>
      <c r="E82" s="5"/>
      <c r="F82" s="5" t="s">
        <v>52</v>
      </c>
      <c r="G82" s="5" t="s">
        <v>122</v>
      </c>
      <c r="H82" s="5" t="s">
        <v>129</v>
      </c>
      <c r="I82" s="5"/>
      <c r="J82" s="5"/>
      <c r="K82" s="5">
        <f>Table1[[#This Row],[W]]*Table1[[#This Row],[H]]</f>
        <v>0</v>
      </c>
      <c r="L82" s="5"/>
      <c r="M82" s="5">
        <v>30</v>
      </c>
      <c r="N82" s="12">
        <v>46220</v>
      </c>
      <c r="O82" s="7">
        <f t="shared" ref="O82:P82" si="25">N82+15</f>
        <v>46235</v>
      </c>
      <c r="P82" s="7">
        <f t="shared" si="25"/>
        <v>46250</v>
      </c>
    </row>
    <row r="83" spans="1:16" ht="22.5" customHeight="1" x14ac:dyDescent="0.25">
      <c r="A83" s="5" t="s">
        <v>10</v>
      </c>
      <c r="B83" s="5" t="s">
        <v>38</v>
      </c>
      <c r="C83" s="5" t="s">
        <v>120</v>
      </c>
      <c r="D83" s="5" t="s">
        <v>121</v>
      </c>
      <c r="E83" s="5"/>
      <c r="F83" s="5" t="s">
        <v>52</v>
      </c>
      <c r="G83" s="5" t="s">
        <v>122</v>
      </c>
      <c r="H83" s="5" t="s">
        <v>133</v>
      </c>
      <c r="I83" s="5"/>
      <c r="J83" s="5"/>
      <c r="K83" s="5">
        <f>Table1[[#This Row],[W]]*Table1[[#This Row],[H]]</f>
        <v>0</v>
      </c>
      <c r="L83" s="5"/>
      <c r="M83" s="5">
        <v>30</v>
      </c>
      <c r="N83" s="12">
        <v>46220</v>
      </c>
      <c r="O83" s="7">
        <f t="shared" ref="O83:P83" si="26">N83+15</f>
        <v>46235</v>
      </c>
      <c r="P83" s="7">
        <f t="shared" si="26"/>
        <v>46250</v>
      </c>
    </row>
    <row r="84" spans="1:16" ht="22.5" customHeight="1" x14ac:dyDescent="0.25">
      <c r="A84" s="5" t="s">
        <v>10</v>
      </c>
      <c r="B84" s="5" t="s">
        <v>38</v>
      </c>
      <c r="C84" s="5" t="s">
        <v>120</v>
      </c>
      <c r="D84" s="5" t="s">
        <v>121</v>
      </c>
      <c r="E84" s="5"/>
      <c r="F84" s="5" t="s">
        <v>52</v>
      </c>
      <c r="G84" s="5" t="s">
        <v>122</v>
      </c>
      <c r="H84" s="5" t="s">
        <v>134</v>
      </c>
      <c r="I84" s="5"/>
      <c r="J84" s="5"/>
      <c r="K84" s="5">
        <f>Table1[[#This Row],[W]]*Table1[[#This Row],[H]]</f>
        <v>0</v>
      </c>
      <c r="L84" s="5"/>
      <c r="M84" s="5">
        <v>30</v>
      </c>
      <c r="N84" s="12">
        <v>46220</v>
      </c>
      <c r="O84" s="7">
        <f t="shared" ref="O84:P84" si="27">N84+15</f>
        <v>46235</v>
      </c>
      <c r="P84" s="7">
        <f t="shared" si="27"/>
        <v>46250</v>
      </c>
    </row>
    <row r="85" spans="1:16" ht="22.5" customHeight="1" x14ac:dyDescent="0.25">
      <c r="A85" s="5" t="s">
        <v>10</v>
      </c>
      <c r="B85" s="5" t="s">
        <v>38</v>
      </c>
      <c r="C85" s="5" t="s">
        <v>120</v>
      </c>
      <c r="D85" s="5" t="s">
        <v>121</v>
      </c>
      <c r="E85" s="5"/>
      <c r="F85" s="5" t="s">
        <v>52</v>
      </c>
      <c r="G85" s="5" t="s">
        <v>122</v>
      </c>
      <c r="H85" s="5" t="s">
        <v>143</v>
      </c>
      <c r="I85" s="5"/>
      <c r="J85" s="5"/>
      <c r="K85" s="5">
        <f>Table1[[#This Row],[W]]*Table1[[#This Row],[H]]</f>
        <v>0</v>
      </c>
      <c r="L85" s="5"/>
      <c r="M85" s="5">
        <v>30</v>
      </c>
      <c r="N85" s="12">
        <v>46220</v>
      </c>
      <c r="O85" s="7">
        <f t="shared" ref="O85:P85" si="28">N85+15</f>
        <v>46235</v>
      </c>
      <c r="P85" s="7">
        <f t="shared" si="28"/>
        <v>46250</v>
      </c>
    </row>
    <row r="86" spans="1:16" ht="22.5" customHeight="1" x14ac:dyDescent="0.25">
      <c r="A86" s="5" t="s">
        <v>10</v>
      </c>
      <c r="B86" s="5" t="s">
        <v>38</v>
      </c>
      <c r="C86" s="5" t="s">
        <v>120</v>
      </c>
      <c r="D86" s="5" t="s">
        <v>121</v>
      </c>
      <c r="E86" s="5"/>
      <c r="F86" s="5" t="s">
        <v>52</v>
      </c>
      <c r="G86" s="5" t="s">
        <v>122</v>
      </c>
      <c r="H86" s="5" t="s">
        <v>154</v>
      </c>
      <c r="I86" s="5"/>
      <c r="J86" s="5"/>
      <c r="K86" s="5">
        <f>Table1[[#This Row],[W]]*Table1[[#This Row],[H]]</f>
        <v>0</v>
      </c>
      <c r="L86" s="5"/>
      <c r="M86" s="5">
        <v>30</v>
      </c>
      <c r="N86" s="12">
        <v>46228</v>
      </c>
      <c r="O86" s="7">
        <f t="shared" ref="O86:P86" si="29">N86+15</f>
        <v>46243</v>
      </c>
      <c r="P86" s="7">
        <f t="shared" si="29"/>
        <v>46258</v>
      </c>
    </row>
    <row r="87" spans="1:16" ht="22.5" customHeight="1" x14ac:dyDescent="0.25">
      <c r="A87" s="5" t="s">
        <v>10</v>
      </c>
      <c r="B87" s="5" t="s">
        <v>38</v>
      </c>
      <c r="C87" s="5" t="s">
        <v>120</v>
      </c>
      <c r="D87" s="5" t="s">
        <v>121</v>
      </c>
      <c r="E87" s="5"/>
      <c r="F87" s="5" t="s">
        <v>52</v>
      </c>
      <c r="G87" s="5" t="s">
        <v>122</v>
      </c>
      <c r="H87" s="5" t="s">
        <v>155</v>
      </c>
      <c r="I87" s="5"/>
      <c r="J87" s="5"/>
      <c r="K87" s="5">
        <f>Table1[[#This Row],[W]]*Table1[[#This Row],[H]]</f>
        <v>0</v>
      </c>
      <c r="L87" s="5"/>
      <c r="M87" s="5">
        <v>30</v>
      </c>
      <c r="N87" s="12">
        <v>46228</v>
      </c>
      <c r="O87" s="7">
        <f t="shared" ref="O87:P87" si="30">N87+15</f>
        <v>46243</v>
      </c>
      <c r="P87" s="7">
        <f t="shared" si="30"/>
        <v>46258</v>
      </c>
    </row>
    <row r="88" spans="1:16" ht="22.5" customHeight="1" x14ac:dyDescent="0.25">
      <c r="A88" s="5" t="s">
        <v>10</v>
      </c>
      <c r="B88" s="5" t="s">
        <v>38</v>
      </c>
      <c r="C88" s="5" t="s">
        <v>120</v>
      </c>
      <c r="D88" s="5" t="s">
        <v>121</v>
      </c>
      <c r="E88" s="5"/>
      <c r="F88" s="5" t="s">
        <v>52</v>
      </c>
      <c r="G88" s="5" t="s">
        <v>122</v>
      </c>
      <c r="H88" s="5" t="s">
        <v>156</v>
      </c>
      <c r="I88" s="5"/>
      <c r="J88" s="5"/>
      <c r="K88" s="5">
        <f>Table1[[#This Row],[W]]*Table1[[#This Row],[H]]</f>
        <v>0</v>
      </c>
      <c r="L88" s="5"/>
      <c r="M88" s="5">
        <v>30</v>
      </c>
      <c r="N88" s="12">
        <v>46228</v>
      </c>
      <c r="O88" s="7">
        <f t="shared" ref="O88:P88" si="31">N88+15</f>
        <v>46243</v>
      </c>
      <c r="P88" s="7">
        <f t="shared" si="31"/>
        <v>46258</v>
      </c>
    </row>
    <row r="89" spans="1:16" ht="22.5" customHeight="1" x14ac:dyDescent="0.25">
      <c r="A89" s="5" t="s">
        <v>10</v>
      </c>
      <c r="B89" s="5" t="s">
        <v>38</v>
      </c>
      <c r="C89" s="5" t="s">
        <v>120</v>
      </c>
      <c r="D89" s="5" t="s">
        <v>121</v>
      </c>
      <c r="E89" s="5"/>
      <c r="F89" s="5" t="s">
        <v>52</v>
      </c>
      <c r="G89" s="5" t="s">
        <v>122</v>
      </c>
      <c r="H89" s="5" t="s">
        <v>157</v>
      </c>
      <c r="I89" s="5"/>
      <c r="J89" s="5"/>
      <c r="K89" s="5">
        <f>Table1[[#This Row],[W]]*Table1[[#This Row],[H]]</f>
        <v>0</v>
      </c>
      <c r="L89" s="5"/>
      <c r="M89" s="5">
        <v>30</v>
      </c>
      <c r="N89" s="12">
        <v>46228</v>
      </c>
      <c r="O89" s="7">
        <f t="shared" ref="O89:P89" si="32">N89+15</f>
        <v>46243</v>
      </c>
      <c r="P89" s="7">
        <f t="shared" si="32"/>
        <v>46258</v>
      </c>
    </row>
    <row r="90" spans="1:16" ht="22.5" customHeight="1" x14ac:dyDescent="0.25">
      <c r="A90" s="5" t="s">
        <v>10</v>
      </c>
      <c r="B90" s="5" t="s">
        <v>38</v>
      </c>
      <c r="C90" s="5" t="s">
        <v>120</v>
      </c>
      <c r="D90" s="5" t="s">
        <v>121</v>
      </c>
      <c r="E90" s="5"/>
      <c r="F90" s="5" t="s">
        <v>52</v>
      </c>
      <c r="G90" s="5" t="s">
        <v>122</v>
      </c>
      <c r="H90" s="5" t="s">
        <v>158</v>
      </c>
      <c r="I90" s="5"/>
      <c r="J90" s="5"/>
      <c r="K90" s="5">
        <f>Table1[[#This Row],[W]]*Table1[[#This Row],[H]]</f>
        <v>0</v>
      </c>
      <c r="L90" s="5"/>
      <c r="M90" s="5">
        <v>30</v>
      </c>
      <c r="N90" s="12">
        <v>46228</v>
      </c>
      <c r="O90" s="7">
        <f t="shared" ref="O90:P90" si="33">N90+15</f>
        <v>46243</v>
      </c>
      <c r="P90" s="7">
        <f t="shared" si="33"/>
        <v>46258</v>
      </c>
    </row>
    <row r="91" spans="1:16" ht="22.5" customHeight="1" x14ac:dyDescent="0.25">
      <c r="A91" s="5" t="s">
        <v>10</v>
      </c>
      <c r="B91" s="5" t="s">
        <v>38</v>
      </c>
      <c r="C91" s="5" t="s">
        <v>120</v>
      </c>
      <c r="D91" s="5" t="s">
        <v>121</v>
      </c>
      <c r="E91" s="5"/>
      <c r="F91" s="5" t="s">
        <v>52</v>
      </c>
      <c r="G91" s="5" t="s">
        <v>122</v>
      </c>
      <c r="H91" s="5" t="s">
        <v>159</v>
      </c>
      <c r="I91" s="5"/>
      <c r="J91" s="5"/>
      <c r="K91" s="5">
        <f>Table1[[#This Row],[W]]*Table1[[#This Row],[H]]</f>
        <v>0</v>
      </c>
      <c r="L91" s="5"/>
      <c r="M91" s="5">
        <v>30</v>
      </c>
      <c r="N91" s="12">
        <v>46228</v>
      </c>
      <c r="O91" s="7">
        <f t="shared" ref="O91:P91" si="34">N91+15</f>
        <v>46243</v>
      </c>
      <c r="P91" s="7">
        <f t="shared" si="34"/>
        <v>46258</v>
      </c>
    </row>
    <row r="92" spans="1:16" ht="22.5" customHeight="1" x14ac:dyDescent="0.25">
      <c r="A92" s="5" t="s">
        <v>10</v>
      </c>
      <c r="B92" s="5" t="s">
        <v>26</v>
      </c>
      <c r="C92" s="5" t="s">
        <v>160</v>
      </c>
      <c r="D92" s="5" t="s">
        <v>28</v>
      </c>
      <c r="E92" s="5"/>
      <c r="F92" s="5" t="s">
        <v>52</v>
      </c>
      <c r="G92" s="5" t="s">
        <v>147</v>
      </c>
      <c r="H92" s="5" t="s">
        <v>161</v>
      </c>
      <c r="I92" s="5"/>
      <c r="J92" s="5"/>
      <c r="K92" s="5">
        <f>Table1[[#This Row],[W]]*Table1[[#This Row],[H]]</f>
        <v>0</v>
      </c>
      <c r="L92" s="5"/>
      <c r="M92" s="5">
        <v>30</v>
      </c>
      <c r="N92" s="12">
        <v>46212</v>
      </c>
      <c r="O92" s="7">
        <f t="shared" ref="O92:P92" si="35">N92+15</f>
        <v>46227</v>
      </c>
      <c r="P92" s="7">
        <f t="shared" si="35"/>
        <v>46242</v>
      </c>
    </row>
    <row r="93" spans="1:16" ht="22.5" customHeight="1" x14ac:dyDescent="0.25">
      <c r="A93" s="5" t="s">
        <v>10</v>
      </c>
      <c r="B93" s="5" t="s">
        <v>26</v>
      </c>
      <c r="C93" s="5" t="s">
        <v>160</v>
      </c>
      <c r="D93" s="5" t="s">
        <v>28</v>
      </c>
      <c r="E93" s="5"/>
      <c r="F93" s="5" t="s">
        <v>52</v>
      </c>
      <c r="G93" s="5" t="s">
        <v>147</v>
      </c>
      <c r="H93" s="5" t="s">
        <v>162</v>
      </c>
      <c r="I93" s="5"/>
      <c r="J93" s="5"/>
      <c r="K93" s="5">
        <f>Table1[[#This Row],[W]]*Table1[[#This Row],[H]]</f>
        <v>0</v>
      </c>
      <c r="L93" s="5"/>
      <c r="M93" s="5">
        <v>30</v>
      </c>
      <c r="N93" s="12">
        <v>46212</v>
      </c>
      <c r="O93" s="7">
        <f t="shared" ref="O93:P93" si="36">N93+15</f>
        <v>46227</v>
      </c>
      <c r="P93" s="7">
        <f t="shared" si="36"/>
        <v>46242</v>
      </c>
    </row>
    <row r="94" spans="1:16" ht="22.5" customHeight="1" x14ac:dyDescent="0.25">
      <c r="A94" s="5" t="s">
        <v>10</v>
      </c>
      <c r="B94" s="5" t="s">
        <v>26</v>
      </c>
      <c r="C94" s="5" t="s">
        <v>160</v>
      </c>
      <c r="D94" s="5" t="s">
        <v>28</v>
      </c>
      <c r="E94" s="5"/>
      <c r="F94" s="5" t="s">
        <v>52</v>
      </c>
      <c r="G94" s="5" t="s">
        <v>147</v>
      </c>
      <c r="H94" s="5" t="s">
        <v>163</v>
      </c>
      <c r="I94" s="5"/>
      <c r="J94" s="5"/>
      <c r="K94" s="5">
        <f>Table1[[#This Row],[W]]*Table1[[#This Row],[H]]</f>
        <v>0</v>
      </c>
      <c r="L94" s="5"/>
      <c r="M94" s="5">
        <v>30</v>
      </c>
      <c r="N94" s="12">
        <v>46212</v>
      </c>
      <c r="O94" s="7">
        <f t="shared" ref="O94:P94" si="37">N94+15</f>
        <v>46227</v>
      </c>
      <c r="P94" s="7">
        <f t="shared" si="37"/>
        <v>46242</v>
      </c>
    </row>
    <row r="95" spans="1:16" ht="22.5" customHeight="1" x14ac:dyDescent="0.25">
      <c r="A95" s="5" t="s">
        <v>10</v>
      </c>
      <c r="B95" s="5" t="s">
        <v>26</v>
      </c>
      <c r="C95" s="5" t="s">
        <v>160</v>
      </c>
      <c r="D95" s="5" t="s">
        <v>28</v>
      </c>
      <c r="E95" s="5"/>
      <c r="F95" s="5" t="s">
        <v>52</v>
      </c>
      <c r="G95" s="5" t="s">
        <v>147</v>
      </c>
      <c r="H95" s="5" t="s">
        <v>164</v>
      </c>
      <c r="I95" s="5"/>
      <c r="J95" s="5"/>
      <c r="K95" s="5">
        <f>Table1[[#This Row],[W]]*Table1[[#This Row],[H]]</f>
        <v>0</v>
      </c>
      <c r="L95" s="5"/>
      <c r="M95" s="5">
        <v>30</v>
      </c>
      <c r="N95" s="12">
        <v>46212</v>
      </c>
      <c r="O95" s="7">
        <f t="shared" ref="O95:P95" si="38">N95+15</f>
        <v>46227</v>
      </c>
      <c r="P95" s="7">
        <f t="shared" si="38"/>
        <v>46242</v>
      </c>
    </row>
    <row r="96" spans="1:16" ht="22.5" customHeight="1" x14ac:dyDescent="0.25">
      <c r="A96" s="5" t="s">
        <v>10</v>
      </c>
      <c r="B96" s="5" t="s">
        <v>26</v>
      </c>
      <c r="C96" s="5" t="s">
        <v>160</v>
      </c>
      <c r="D96" s="5" t="s">
        <v>28</v>
      </c>
      <c r="E96" s="5"/>
      <c r="F96" s="5" t="s">
        <v>52</v>
      </c>
      <c r="G96" s="5" t="s">
        <v>147</v>
      </c>
      <c r="H96" s="5" t="s">
        <v>165</v>
      </c>
      <c r="I96" s="5"/>
      <c r="J96" s="5"/>
      <c r="K96" s="5">
        <f>Table1[[#This Row],[W]]*Table1[[#This Row],[H]]</f>
        <v>0</v>
      </c>
      <c r="L96" s="5"/>
      <c r="M96" s="5">
        <v>30</v>
      </c>
      <c r="N96" s="12">
        <v>46226</v>
      </c>
      <c r="O96" s="7">
        <f t="shared" ref="O96:P96" si="39">N96+15</f>
        <v>46241</v>
      </c>
      <c r="P96" s="7">
        <f t="shared" si="39"/>
        <v>46256</v>
      </c>
    </row>
    <row r="97" spans="1:16" ht="22.5" customHeight="1" x14ac:dyDescent="0.25">
      <c r="A97" s="5" t="s">
        <v>10</v>
      </c>
      <c r="B97" s="5" t="s">
        <v>26</v>
      </c>
      <c r="C97" s="5" t="s">
        <v>166</v>
      </c>
      <c r="D97" s="5" t="s">
        <v>28</v>
      </c>
      <c r="E97" s="5"/>
      <c r="F97" s="5" t="s">
        <v>52</v>
      </c>
      <c r="G97" s="5" t="s">
        <v>147</v>
      </c>
      <c r="H97" s="5" t="s">
        <v>167</v>
      </c>
      <c r="I97" s="5"/>
      <c r="J97" s="5"/>
      <c r="K97" s="5">
        <f>Table1[[#This Row],[W]]*Table1[[#This Row],[H]]</f>
        <v>0</v>
      </c>
      <c r="L97" s="5"/>
      <c r="M97" s="5">
        <v>30</v>
      </c>
      <c r="N97" s="12">
        <v>46212</v>
      </c>
      <c r="O97" s="7">
        <f t="shared" ref="O97:P97" si="40">N97+15</f>
        <v>46227</v>
      </c>
      <c r="P97" s="7">
        <f t="shared" si="40"/>
        <v>46242</v>
      </c>
    </row>
    <row r="98" spans="1:16" ht="22.5" customHeight="1" x14ac:dyDescent="0.25">
      <c r="A98" s="5" t="s">
        <v>10</v>
      </c>
      <c r="B98" s="5" t="s">
        <v>168</v>
      </c>
      <c r="C98" s="5" t="s">
        <v>169</v>
      </c>
      <c r="D98" s="5" t="s">
        <v>170</v>
      </c>
      <c r="E98" s="5"/>
      <c r="F98" s="5" t="s">
        <v>52</v>
      </c>
      <c r="G98" s="5" t="s">
        <v>147</v>
      </c>
      <c r="H98" s="5" t="s">
        <v>171</v>
      </c>
      <c r="I98" s="5"/>
      <c r="J98" s="5"/>
      <c r="K98" s="5">
        <f>Table1[[#This Row],[W]]*Table1[[#This Row],[H]]</f>
        <v>0</v>
      </c>
      <c r="L98" s="5"/>
      <c r="M98" s="5">
        <v>30</v>
      </c>
      <c r="N98" s="12">
        <v>46229</v>
      </c>
      <c r="O98" s="7">
        <f t="shared" ref="O98:P98" si="41">N98+15</f>
        <v>46244</v>
      </c>
      <c r="P98" s="7">
        <f t="shared" si="41"/>
        <v>46259</v>
      </c>
    </row>
    <row r="99" spans="1:16" ht="13.2" x14ac:dyDescent="0.25">
      <c r="M99" s="1"/>
    </row>
    <row r="100" spans="1:16" ht="13.2" x14ac:dyDescent="0.25">
      <c r="M100" s="1"/>
    </row>
    <row r="101" spans="1:16" ht="13.2" x14ac:dyDescent="0.25">
      <c r="M101" s="1"/>
    </row>
    <row r="102" spans="1:16" ht="13.2" x14ac:dyDescent="0.25">
      <c r="M102" s="1"/>
    </row>
    <row r="103" spans="1:16" ht="13.2" x14ac:dyDescent="0.25">
      <c r="M103" s="1"/>
    </row>
    <row r="104" spans="1:16" ht="13.2" x14ac:dyDescent="0.25">
      <c r="M104" s="1"/>
    </row>
    <row r="105" spans="1:16" ht="13.2" x14ac:dyDescent="0.25">
      <c r="M105" s="1"/>
    </row>
    <row r="106" spans="1:16" ht="13.2" x14ac:dyDescent="0.25">
      <c r="M106" s="1"/>
    </row>
    <row r="107" spans="1:16" ht="13.2" x14ac:dyDescent="0.25">
      <c r="M107" s="1"/>
    </row>
    <row r="108" spans="1:16" ht="13.2" x14ac:dyDescent="0.25">
      <c r="M108" s="1"/>
    </row>
    <row r="109" spans="1:16" ht="13.2" x14ac:dyDescent="0.25">
      <c r="M109" s="1"/>
    </row>
    <row r="110" spans="1:16" ht="13.2" x14ac:dyDescent="0.25">
      <c r="M110" s="1"/>
    </row>
    <row r="111" spans="1:16" ht="13.2" x14ac:dyDescent="0.25">
      <c r="M111" s="1"/>
    </row>
    <row r="112" spans="1:16" ht="13.2" x14ac:dyDescent="0.25">
      <c r="M112" s="1"/>
    </row>
    <row r="113" spans="13:13" ht="13.2" x14ac:dyDescent="0.25">
      <c r="M113" s="1"/>
    </row>
    <row r="114" spans="13:13" ht="13.2" x14ac:dyDescent="0.25">
      <c r="M114" s="1"/>
    </row>
    <row r="115" spans="13:13" ht="13.2" x14ac:dyDescent="0.25">
      <c r="M115" s="1"/>
    </row>
    <row r="116" spans="13:13" ht="13.2" x14ac:dyDescent="0.25">
      <c r="M116" s="1"/>
    </row>
    <row r="117" spans="13:13" ht="13.2" x14ac:dyDescent="0.25">
      <c r="M117" s="1"/>
    </row>
    <row r="118" spans="13:13" ht="13.2" x14ac:dyDescent="0.25">
      <c r="M118" s="1"/>
    </row>
    <row r="119" spans="13:13" ht="13.2" x14ac:dyDescent="0.25">
      <c r="M119" s="1"/>
    </row>
    <row r="120" spans="13:13" ht="13.2" x14ac:dyDescent="0.25">
      <c r="M120" s="1"/>
    </row>
    <row r="121" spans="13:13" ht="13.2" x14ac:dyDescent="0.25">
      <c r="M121" s="1"/>
    </row>
    <row r="122" spans="13:13" ht="13.2" x14ac:dyDescent="0.25">
      <c r="M122" s="1"/>
    </row>
    <row r="123" spans="13:13" ht="13.2" x14ac:dyDescent="0.25">
      <c r="M123" s="1"/>
    </row>
    <row r="124" spans="13:13" ht="13.2" x14ac:dyDescent="0.25">
      <c r="M124" s="1"/>
    </row>
    <row r="125" spans="13:13" ht="13.2" x14ac:dyDescent="0.25">
      <c r="M125" s="1"/>
    </row>
    <row r="126" spans="13:13" ht="13.2" x14ac:dyDescent="0.25">
      <c r="M126" s="1"/>
    </row>
    <row r="127" spans="13:13" ht="13.2" x14ac:dyDescent="0.25">
      <c r="M127" s="1"/>
    </row>
    <row r="128" spans="13:13" ht="13.2" x14ac:dyDescent="0.25">
      <c r="M128" s="1"/>
    </row>
    <row r="129" spans="13:13" ht="13.2" x14ac:dyDescent="0.25">
      <c r="M129" s="1"/>
    </row>
    <row r="130" spans="13:13" ht="13.2" x14ac:dyDescent="0.25">
      <c r="M130" s="1"/>
    </row>
    <row r="131" spans="13:13" ht="13.2" x14ac:dyDescent="0.25">
      <c r="M131" s="1"/>
    </row>
    <row r="132" spans="13:13" ht="13.2" x14ac:dyDescent="0.25">
      <c r="M132" s="1"/>
    </row>
    <row r="133" spans="13:13" ht="13.2" x14ac:dyDescent="0.25">
      <c r="M133" s="1"/>
    </row>
    <row r="134" spans="13:13" ht="13.2" x14ac:dyDescent="0.25">
      <c r="M134" s="1"/>
    </row>
    <row r="135" spans="13:13" ht="13.2" x14ac:dyDescent="0.25">
      <c r="M135" s="1"/>
    </row>
    <row r="136" spans="13:13" ht="13.2" x14ac:dyDescent="0.25">
      <c r="M136" s="1"/>
    </row>
    <row r="137" spans="13:13" ht="13.2" x14ac:dyDescent="0.25">
      <c r="M137" s="1"/>
    </row>
    <row r="138" spans="13:13" ht="13.2" x14ac:dyDescent="0.25">
      <c r="M138" s="1"/>
    </row>
    <row r="139" spans="13:13" ht="13.2" x14ac:dyDescent="0.25">
      <c r="M139" s="1"/>
    </row>
    <row r="140" spans="13:13" ht="13.2" x14ac:dyDescent="0.25">
      <c r="M140" s="1"/>
    </row>
    <row r="141" spans="13:13" ht="13.2" x14ac:dyDescent="0.25">
      <c r="M141" s="1"/>
    </row>
    <row r="142" spans="13:13" ht="13.2" x14ac:dyDescent="0.25">
      <c r="M142" s="1"/>
    </row>
    <row r="143" spans="13:13" ht="13.2" x14ac:dyDescent="0.25">
      <c r="M143" s="1"/>
    </row>
    <row r="144" spans="13:13" ht="13.2" x14ac:dyDescent="0.25">
      <c r="M144" s="1"/>
    </row>
    <row r="145" spans="13:13" ht="13.2" x14ac:dyDescent="0.25">
      <c r="M145" s="1"/>
    </row>
    <row r="146" spans="13:13" ht="13.2" x14ac:dyDescent="0.25">
      <c r="M146" s="1"/>
    </row>
    <row r="147" spans="13:13" ht="13.2" x14ac:dyDescent="0.25">
      <c r="M147" s="1"/>
    </row>
    <row r="148" spans="13:13" ht="13.2" x14ac:dyDescent="0.25">
      <c r="M148" s="1"/>
    </row>
    <row r="149" spans="13:13" ht="13.2" x14ac:dyDescent="0.25">
      <c r="M149" s="1"/>
    </row>
    <row r="150" spans="13:13" ht="13.2" x14ac:dyDescent="0.25">
      <c r="M150" s="1"/>
    </row>
    <row r="151" spans="13:13" ht="13.2" x14ac:dyDescent="0.25">
      <c r="M151" s="1"/>
    </row>
    <row r="152" spans="13:13" ht="13.2" x14ac:dyDescent="0.25">
      <c r="M152" s="1"/>
    </row>
    <row r="153" spans="13:13" ht="13.2" x14ac:dyDescent="0.25">
      <c r="M153" s="1"/>
    </row>
    <row r="154" spans="13:13" ht="13.2" x14ac:dyDescent="0.25">
      <c r="M154" s="1"/>
    </row>
    <row r="155" spans="13:13" ht="13.2" x14ac:dyDescent="0.25">
      <c r="M155" s="1"/>
    </row>
    <row r="156" spans="13:13" ht="13.2" x14ac:dyDescent="0.25">
      <c r="M156" s="1"/>
    </row>
    <row r="157" spans="13:13" ht="13.2" x14ac:dyDescent="0.25">
      <c r="M157" s="1"/>
    </row>
    <row r="158" spans="13:13" ht="13.2" x14ac:dyDescent="0.25">
      <c r="M158" s="1"/>
    </row>
    <row r="159" spans="13:13" ht="13.2" x14ac:dyDescent="0.25">
      <c r="M159" s="1"/>
    </row>
    <row r="160" spans="13:13" ht="13.2" x14ac:dyDescent="0.25">
      <c r="M160" s="1"/>
    </row>
    <row r="161" spans="13:13" ht="13.2" x14ac:dyDescent="0.25">
      <c r="M161" s="1"/>
    </row>
    <row r="162" spans="13:13" ht="13.2" x14ac:dyDescent="0.25">
      <c r="M162" s="1"/>
    </row>
    <row r="163" spans="13:13" ht="13.2" x14ac:dyDescent="0.25">
      <c r="M163" s="1"/>
    </row>
    <row r="164" spans="13:13" ht="13.2" x14ac:dyDescent="0.25">
      <c r="M164" s="1"/>
    </row>
    <row r="165" spans="13:13" ht="13.2" x14ac:dyDescent="0.25">
      <c r="M165" s="1"/>
    </row>
    <row r="166" spans="13:13" ht="13.2" x14ac:dyDescent="0.25">
      <c r="M166" s="1"/>
    </row>
    <row r="167" spans="13:13" ht="13.2" x14ac:dyDescent="0.25">
      <c r="M167" s="1"/>
    </row>
    <row r="168" spans="13:13" ht="13.2" x14ac:dyDescent="0.25">
      <c r="M168" s="1"/>
    </row>
    <row r="169" spans="13:13" ht="13.2" x14ac:dyDescent="0.25">
      <c r="M169" s="1"/>
    </row>
    <row r="170" spans="13:13" ht="13.2" x14ac:dyDescent="0.25">
      <c r="M170" s="1"/>
    </row>
    <row r="171" spans="13:13" ht="13.2" x14ac:dyDescent="0.25">
      <c r="M171" s="1"/>
    </row>
    <row r="172" spans="13:13" ht="13.2" x14ac:dyDescent="0.25">
      <c r="M172" s="1"/>
    </row>
    <row r="173" spans="13:13" ht="13.2" x14ac:dyDescent="0.25">
      <c r="M173" s="1"/>
    </row>
    <row r="174" spans="13:13" ht="13.2" x14ac:dyDescent="0.25">
      <c r="M174" s="1"/>
    </row>
    <row r="175" spans="13:13" ht="13.2" x14ac:dyDescent="0.25">
      <c r="M175" s="1"/>
    </row>
    <row r="176" spans="13:13" ht="13.2" x14ac:dyDescent="0.25">
      <c r="M176" s="1"/>
    </row>
    <row r="177" spans="13:13" ht="13.2" x14ac:dyDescent="0.25">
      <c r="M177" s="1"/>
    </row>
    <row r="178" spans="13:13" ht="13.2" x14ac:dyDescent="0.25">
      <c r="M178" s="1"/>
    </row>
    <row r="179" spans="13:13" ht="13.2" x14ac:dyDescent="0.25">
      <c r="M179" s="1"/>
    </row>
    <row r="180" spans="13:13" ht="13.2" x14ac:dyDescent="0.25">
      <c r="M180" s="1"/>
    </row>
    <row r="181" spans="13:13" ht="13.2" x14ac:dyDescent="0.25">
      <c r="M181" s="1"/>
    </row>
    <row r="182" spans="13:13" ht="13.2" x14ac:dyDescent="0.25">
      <c r="M182" s="1"/>
    </row>
    <row r="183" spans="13:13" ht="13.2" x14ac:dyDescent="0.25">
      <c r="M183" s="1"/>
    </row>
    <row r="184" spans="13:13" ht="13.2" x14ac:dyDescent="0.25">
      <c r="M184" s="1"/>
    </row>
    <row r="185" spans="13:13" ht="13.2" x14ac:dyDescent="0.25">
      <c r="M185" s="1"/>
    </row>
    <row r="186" spans="13:13" ht="13.2" x14ac:dyDescent="0.25">
      <c r="M186" s="1"/>
    </row>
    <row r="187" spans="13:13" ht="13.2" x14ac:dyDescent="0.25">
      <c r="M187" s="1"/>
    </row>
    <row r="188" spans="13:13" ht="13.2" x14ac:dyDescent="0.25">
      <c r="M188" s="1"/>
    </row>
    <row r="189" spans="13:13" ht="13.2" x14ac:dyDescent="0.25">
      <c r="M189" s="1"/>
    </row>
    <row r="190" spans="13:13" ht="13.2" x14ac:dyDescent="0.25">
      <c r="M190" s="1"/>
    </row>
    <row r="191" spans="13:13" ht="13.2" x14ac:dyDescent="0.25">
      <c r="M191" s="1"/>
    </row>
    <row r="192" spans="13:13" ht="13.2" x14ac:dyDescent="0.25">
      <c r="M192" s="1"/>
    </row>
    <row r="193" spans="13:13" ht="13.2" x14ac:dyDescent="0.25">
      <c r="M193" s="1"/>
    </row>
    <row r="194" spans="13:13" ht="13.2" x14ac:dyDescent="0.25">
      <c r="M194" s="1"/>
    </row>
    <row r="195" spans="13:13" ht="13.2" x14ac:dyDescent="0.25">
      <c r="M195" s="1"/>
    </row>
    <row r="196" spans="13:13" ht="13.2" x14ac:dyDescent="0.25">
      <c r="M196" s="1"/>
    </row>
    <row r="197" spans="13:13" ht="13.2" x14ac:dyDescent="0.25">
      <c r="M197" s="1"/>
    </row>
    <row r="198" spans="13:13" ht="13.2" x14ac:dyDescent="0.25">
      <c r="M198" s="1"/>
    </row>
    <row r="199" spans="13:13" ht="13.2" x14ac:dyDescent="0.25">
      <c r="M199" s="1"/>
    </row>
    <row r="200" spans="13:13" ht="13.2" x14ac:dyDescent="0.25">
      <c r="M200" s="1"/>
    </row>
    <row r="201" spans="13:13" ht="13.2" x14ac:dyDescent="0.25">
      <c r="M201" s="1"/>
    </row>
    <row r="202" spans="13:13" ht="13.2" x14ac:dyDescent="0.25">
      <c r="M202" s="1"/>
    </row>
    <row r="203" spans="13:13" ht="13.2" x14ac:dyDescent="0.25">
      <c r="M203" s="1"/>
    </row>
    <row r="204" spans="13:13" ht="13.2" x14ac:dyDescent="0.25">
      <c r="M204" s="1"/>
    </row>
    <row r="205" spans="13:13" ht="13.2" x14ac:dyDescent="0.25">
      <c r="M205" s="1"/>
    </row>
    <row r="206" spans="13:13" ht="13.2" x14ac:dyDescent="0.25">
      <c r="M206" s="1"/>
    </row>
    <row r="207" spans="13:13" ht="13.2" x14ac:dyDescent="0.25">
      <c r="M207" s="1"/>
    </row>
    <row r="208" spans="13:13" ht="13.2" x14ac:dyDescent="0.25">
      <c r="M208" s="1"/>
    </row>
    <row r="209" spans="13:13" ht="13.2" x14ac:dyDescent="0.25">
      <c r="M209" s="1"/>
    </row>
    <row r="210" spans="13:13" ht="13.2" x14ac:dyDescent="0.25">
      <c r="M210" s="1"/>
    </row>
    <row r="211" spans="13:13" ht="13.2" x14ac:dyDescent="0.25">
      <c r="M211" s="1"/>
    </row>
    <row r="212" spans="13:13" ht="13.2" x14ac:dyDescent="0.25">
      <c r="M212" s="1"/>
    </row>
    <row r="213" spans="13:13" ht="13.2" x14ac:dyDescent="0.25">
      <c r="M213" s="1"/>
    </row>
    <row r="214" spans="13:13" ht="13.2" x14ac:dyDescent="0.25">
      <c r="M214" s="1"/>
    </row>
    <row r="215" spans="13:13" ht="13.2" x14ac:dyDescent="0.25">
      <c r="M215" s="1"/>
    </row>
    <row r="216" spans="13:13" ht="13.2" x14ac:dyDescent="0.25">
      <c r="M216" s="1"/>
    </row>
    <row r="217" spans="13:13" ht="13.2" x14ac:dyDescent="0.25">
      <c r="M217" s="1"/>
    </row>
    <row r="218" spans="13:13" ht="13.2" x14ac:dyDescent="0.25">
      <c r="M218" s="1"/>
    </row>
    <row r="219" spans="13:13" ht="13.2" x14ac:dyDescent="0.25">
      <c r="M219" s="1"/>
    </row>
    <row r="220" spans="13:13" ht="13.2" x14ac:dyDescent="0.25">
      <c r="M220" s="1"/>
    </row>
    <row r="221" spans="13:13" ht="13.2" x14ac:dyDescent="0.25">
      <c r="M221" s="1"/>
    </row>
    <row r="222" spans="13:13" ht="13.2" x14ac:dyDescent="0.25">
      <c r="M222" s="1"/>
    </row>
    <row r="223" spans="13:13" ht="13.2" x14ac:dyDescent="0.25">
      <c r="M223" s="1"/>
    </row>
    <row r="224" spans="13:13" ht="13.2" x14ac:dyDescent="0.25">
      <c r="M224" s="1"/>
    </row>
    <row r="225" spans="13:13" ht="13.2" x14ac:dyDescent="0.25">
      <c r="M225" s="1"/>
    </row>
    <row r="226" spans="13:13" ht="13.2" x14ac:dyDescent="0.25">
      <c r="M226" s="1"/>
    </row>
    <row r="227" spans="13:13" ht="13.2" x14ac:dyDescent="0.25">
      <c r="M227" s="1"/>
    </row>
    <row r="228" spans="13:13" ht="13.2" x14ac:dyDescent="0.25">
      <c r="M228" s="1"/>
    </row>
    <row r="229" spans="13:13" ht="13.2" x14ac:dyDescent="0.25">
      <c r="M229" s="1"/>
    </row>
    <row r="230" spans="13:13" ht="13.2" x14ac:dyDescent="0.25">
      <c r="M230" s="1"/>
    </row>
    <row r="231" spans="13:13" ht="13.2" x14ac:dyDescent="0.25">
      <c r="M231" s="1"/>
    </row>
    <row r="232" spans="13:13" ht="13.2" x14ac:dyDescent="0.25">
      <c r="M232" s="1"/>
    </row>
    <row r="233" spans="13:13" ht="13.2" x14ac:dyDescent="0.25">
      <c r="M233" s="1"/>
    </row>
    <row r="234" spans="13:13" ht="13.2" x14ac:dyDescent="0.25">
      <c r="M234" s="1"/>
    </row>
    <row r="235" spans="13:13" ht="13.2" x14ac:dyDescent="0.25">
      <c r="M235" s="1"/>
    </row>
    <row r="236" spans="13:13" ht="13.2" x14ac:dyDescent="0.25">
      <c r="M236" s="1"/>
    </row>
    <row r="237" spans="13:13" ht="13.2" x14ac:dyDescent="0.25">
      <c r="M237" s="1"/>
    </row>
    <row r="238" spans="13:13" ht="13.2" x14ac:dyDescent="0.25">
      <c r="M238" s="1"/>
    </row>
    <row r="239" spans="13:13" ht="13.2" x14ac:dyDescent="0.25">
      <c r="M239" s="1"/>
    </row>
    <row r="240" spans="13:13" ht="13.2" x14ac:dyDescent="0.25">
      <c r="M240" s="1"/>
    </row>
    <row r="241" spans="13:13" ht="13.2" x14ac:dyDescent="0.25">
      <c r="M241" s="1"/>
    </row>
    <row r="242" spans="13:13" ht="13.2" x14ac:dyDescent="0.25">
      <c r="M242" s="1"/>
    </row>
    <row r="243" spans="13:13" ht="13.2" x14ac:dyDescent="0.25">
      <c r="M243" s="1"/>
    </row>
    <row r="244" spans="13:13" ht="13.2" x14ac:dyDescent="0.25">
      <c r="M244" s="1"/>
    </row>
    <row r="245" spans="13:13" ht="13.2" x14ac:dyDescent="0.25">
      <c r="M245" s="1"/>
    </row>
    <row r="246" spans="13:13" ht="13.2" x14ac:dyDescent="0.25">
      <c r="M246" s="1"/>
    </row>
    <row r="247" spans="13:13" ht="13.2" x14ac:dyDescent="0.25">
      <c r="M247" s="1"/>
    </row>
    <row r="248" spans="13:13" ht="13.2" x14ac:dyDescent="0.25">
      <c r="M248" s="1"/>
    </row>
    <row r="249" spans="13:13" ht="13.2" x14ac:dyDescent="0.25">
      <c r="M249" s="1"/>
    </row>
    <row r="250" spans="13:13" ht="13.2" x14ac:dyDescent="0.25">
      <c r="M250" s="1"/>
    </row>
    <row r="251" spans="13:13" ht="13.2" x14ac:dyDescent="0.25">
      <c r="M251" s="1"/>
    </row>
    <row r="252" spans="13:13" ht="13.2" x14ac:dyDescent="0.25">
      <c r="M252" s="1"/>
    </row>
    <row r="253" spans="13:13" ht="13.2" x14ac:dyDescent="0.25">
      <c r="M253" s="1"/>
    </row>
    <row r="254" spans="13:13" ht="13.2" x14ac:dyDescent="0.25">
      <c r="M254" s="1"/>
    </row>
    <row r="255" spans="13:13" ht="13.2" x14ac:dyDescent="0.25">
      <c r="M255" s="1"/>
    </row>
    <row r="256" spans="13:13" ht="13.2" x14ac:dyDescent="0.25">
      <c r="M256" s="1"/>
    </row>
    <row r="257" spans="13:13" ht="13.2" x14ac:dyDescent="0.25">
      <c r="M257" s="1"/>
    </row>
    <row r="258" spans="13:13" ht="13.2" x14ac:dyDescent="0.25">
      <c r="M258" s="1"/>
    </row>
    <row r="259" spans="13:13" ht="13.2" x14ac:dyDescent="0.25">
      <c r="M259" s="1"/>
    </row>
    <row r="260" spans="13:13" ht="13.2" x14ac:dyDescent="0.25">
      <c r="M260" s="1"/>
    </row>
    <row r="261" spans="13:13" ht="13.2" x14ac:dyDescent="0.25">
      <c r="M261" s="1"/>
    </row>
    <row r="262" spans="13:13" ht="13.2" x14ac:dyDescent="0.25">
      <c r="M262" s="1"/>
    </row>
    <row r="263" spans="13:13" ht="13.2" x14ac:dyDescent="0.25">
      <c r="M263" s="1"/>
    </row>
    <row r="264" spans="13:13" ht="13.2" x14ac:dyDescent="0.25">
      <c r="M264" s="1"/>
    </row>
    <row r="265" spans="13:13" ht="13.2" x14ac:dyDescent="0.25">
      <c r="M265" s="1"/>
    </row>
    <row r="266" spans="13:13" ht="13.2" x14ac:dyDescent="0.25">
      <c r="M266" s="1"/>
    </row>
    <row r="267" spans="13:13" ht="13.2" x14ac:dyDescent="0.25">
      <c r="M267" s="1"/>
    </row>
    <row r="268" spans="13:13" ht="13.2" x14ac:dyDescent="0.25">
      <c r="M268" s="1"/>
    </row>
    <row r="269" spans="13:13" ht="13.2" x14ac:dyDescent="0.25">
      <c r="M269" s="1"/>
    </row>
    <row r="270" spans="13:13" ht="13.2" x14ac:dyDescent="0.25">
      <c r="M270" s="1"/>
    </row>
    <row r="271" spans="13:13" ht="13.2" x14ac:dyDescent="0.25">
      <c r="M271" s="1"/>
    </row>
    <row r="272" spans="13:13" ht="13.2" x14ac:dyDescent="0.25">
      <c r="M272" s="1"/>
    </row>
    <row r="273" spans="13:13" ht="13.2" x14ac:dyDescent="0.25">
      <c r="M273" s="1"/>
    </row>
    <row r="274" spans="13:13" ht="13.2" x14ac:dyDescent="0.25">
      <c r="M274" s="1"/>
    </row>
    <row r="275" spans="13:13" ht="13.2" x14ac:dyDescent="0.25">
      <c r="M275" s="1"/>
    </row>
    <row r="276" spans="13:13" ht="13.2" x14ac:dyDescent="0.25">
      <c r="M276" s="1"/>
    </row>
    <row r="277" spans="13:13" ht="13.2" x14ac:dyDescent="0.25">
      <c r="M277" s="1"/>
    </row>
    <row r="278" spans="13:13" ht="13.2" x14ac:dyDescent="0.25">
      <c r="M278" s="1"/>
    </row>
    <row r="279" spans="13:13" ht="13.2" x14ac:dyDescent="0.25">
      <c r="M279" s="1"/>
    </row>
    <row r="280" spans="13:13" ht="13.2" x14ac:dyDescent="0.25">
      <c r="M280" s="1"/>
    </row>
    <row r="281" spans="13:13" ht="13.2" x14ac:dyDescent="0.25">
      <c r="M281" s="1"/>
    </row>
    <row r="282" spans="13:13" ht="13.2" x14ac:dyDescent="0.25">
      <c r="M282" s="1"/>
    </row>
    <row r="283" spans="13:13" ht="13.2" x14ac:dyDescent="0.25">
      <c r="M283" s="1"/>
    </row>
    <row r="284" spans="13:13" ht="13.2" x14ac:dyDescent="0.25">
      <c r="M284" s="1"/>
    </row>
    <row r="285" spans="13:13" ht="13.2" x14ac:dyDescent="0.25">
      <c r="M285" s="1"/>
    </row>
    <row r="286" spans="13:13" ht="13.2" x14ac:dyDescent="0.25">
      <c r="M286" s="1"/>
    </row>
    <row r="287" spans="13:13" ht="13.2" x14ac:dyDescent="0.25">
      <c r="M287" s="1"/>
    </row>
    <row r="288" spans="13:13" ht="13.2" x14ac:dyDescent="0.25">
      <c r="M288" s="1"/>
    </row>
    <row r="289" spans="13:13" ht="13.2" x14ac:dyDescent="0.25">
      <c r="M289" s="1"/>
    </row>
    <row r="290" spans="13:13" ht="13.2" x14ac:dyDescent="0.25">
      <c r="M290" s="1"/>
    </row>
    <row r="291" spans="13:13" ht="13.2" x14ac:dyDescent="0.25">
      <c r="M291" s="1"/>
    </row>
    <row r="292" spans="13:13" ht="13.2" x14ac:dyDescent="0.25">
      <c r="M292" s="1"/>
    </row>
    <row r="293" spans="13:13" ht="13.2" x14ac:dyDescent="0.25">
      <c r="M293" s="1"/>
    </row>
    <row r="294" spans="13:13" ht="13.2" x14ac:dyDescent="0.25">
      <c r="M294" s="1"/>
    </row>
    <row r="295" spans="13:13" ht="13.2" x14ac:dyDescent="0.25">
      <c r="M295" s="1"/>
    </row>
    <row r="296" spans="13:13" ht="13.2" x14ac:dyDescent="0.25">
      <c r="M296" s="1"/>
    </row>
    <row r="297" spans="13:13" ht="13.2" x14ac:dyDescent="0.25">
      <c r="M297" s="1"/>
    </row>
    <row r="298" spans="13:13" ht="13.2" x14ac:dyDescent="0.25">
      <c r="M298" s="1"/>
    </row>
    <row r="299" spans="13:13" ht="13.2" x14ac:dyDescent="0.25">
      <c r="M299" s="1"/>
    </row>
    <row r="300" spans="13:13" ht="13.2" x14ac:dyDescent="0.25">
      <c r="M300" s="1"/>
    </row>
    <row r="301" spans="13:13" ht="13.2" x14ac:dyDescent="0.25">
      <c r="M301" s="1"/>
    </row>
    <row r="302" spans="13:13" ht="13.2" x14ac:dyDescent="0.25">
      <c r="M302" s="1"/>
    </row>
    <row r="303" spans="13:13" ht="13.2" x14ac:dyDescent="0.25">
      <c r="M303" s="1"/>
    </row>
    <row r="304" spans="13:13" ht="13.2" x14ac:dyDescent="0.25">
      <c r="M304" s="1"/>
    </row>
    <row r="305" spans="13:13" ht="13.2" x14ac:dyDescent="0.25">
      <c r="M305" s="1"/>
    </row>
    <row r="306" spans="13:13" ht="13.2" x14ac:dyDescent="0.25">
      <c r="M306" s="1"/>
    </row>
    <row r="307" spans="13:13" ht="13.2" x14ac:dyDescent="0.25">
      <c r="M307" s="1"/>
    </row>
    <row r="308" spans="13:13" ht="13.2" x14ac:dyDescent="0.25">
      <c r="M308" s="1"/>
    </row>
    <row r="309" spans="13:13" ht="13.2" x14ac:dyDescent="0.25">
      <c r="M309" s="1"/>
    </row>
    <row r="310" spans="13:13" ht="13.2" x14ac:dyDescent="0.25">
      <c r="M310" s="1"/>
    </row>
    <row r="311" spans="13:13" ht="13.2" x14ac:dyDescent="0.25">
      <c r="M311" s="1"/>
    </row>
    <row r="312" spans="13:13" ht="13.2" x14ac:dyDescent="0.25">
      <c r="M312" s="1"/>
    </row>
    <row r="313" spans="13:13" ht="13.2" x14ac:dyDescent="0.25">
      <c r="M313" s="1"/>
    </row>
    <row r="314" spans="13:13" ht="13.2" x14ac:dyDescent="0.25">
      <c r="M314" s="1"/>
    </row>
    <row r="315" spans="13:13" ht="13.2" x14ac:dyDescent="0.25">
      <c r="M315" s="1"/>
    </row>
    <row r="316" spans="13:13" ht="13.2" x14ac:dyDescent="0.25">
      <c r="M316" s="1"/>
    </row>
    <row r="317" spans="13:13" ht="13.2" x14ac:dyDescent="0.25">
      <c r="M317" s="1"/>
    </row>
    <row r="318" spans="13:13" ht="13.2" x14ac:dyDescent="0.25">
      <c r="M318" s="1"/>
    </row>
    <row r="319" spans="13:13" ht="13.2" x14ac:dyDescent="0.25">
      <c r="M319" s="1"/>
    </row>
    <row r="320" spans="13:13" ht="13.2" x14ac:dyDescent="0.25">
      <c r="M320" s="1"/>
    </row>
    <row r="321" spans="13:13" ht="13.2" x14ac:dyDescent="0.25">
      <c r="M321" s="1"/>
    </row>
    <row r="322" spans="13:13" ht="13.2" x14ac:dyDescent="0.25">
      <c r="M322" s="1"/>
    </row>
    <row r="323" spans="13:13" ht="13.2" x14ac:dyDescent="0.25">
      <c r="M323" s="1"/>
    </row>
    <row r="324" spans="13:13" ht="13.2" x14ac:dyDescent="0.25">
      <c r="M324" s="1"/>
    </row>
    <row r="325" spans="13:13" ht="13.2" x14ac:dyDescent="0.25">
      <c r="M325" s="1"/>
    </row>
    <row r="326" spans="13:13" ht="13.2" x14ac:dyDescent="0.25">
      <c r="M326" s="1"/>
    </row>
    <row r="327" spans="13:13" ht="13.2" x14ac:dyDescent="0.25">
      <c r="M327" s="1"/>
    </row>
    <row r="328" spans="13:13" ht="13.2" x14ac:dyDescent="0.25">
      <c r="M328" s="1"/>
    </row>
    <row r="329" spans="13:13" ht="13.2" x14ac:dyDescent="0.25">
      <c r="M329" s="1"/>
    </row>
    <row r="330" spans="13:13" ht="13.2" x14ac:dyDescent="0.25">
      <c r="M330" s="1"/>
    </row>
    <row r="331" spans="13:13" ht="13.2" x14ac:dyDescent="0.25">
      <c r="M331" s="1"/>
    </row>
    <row r="332" spans="13:13" ht="13.2" x14ac:dyDescent="0.25">
      <c r="M332" s="1"/>
    </row>
    <row r="333" spans="13:13" ht="13.2" x14ac:dyDescent="0.25">
      <c r="M333" s="1"/>
    </row>
    <row r="334" spans="13:13" ht="13.2" x14ac:dyDescent="0.25">
      <c r="M334" s="1"/>
    </row>
    <row r="335" spans="13:13" ht="13.2" x14ac:dyDescent="0.25">
      <c r="M335" s="1"/>
    </row>
    <row r="336" spans="13:13" ht="13.2" x14ac:dyDescent="0.25">
      <c r="M336" s="1"/>
    </row>
    <row r="337" spans="13:13" ht="13.2" x14ac:dyDescent="0.25">
      <c r="M337" s="1"/>
    </row>
    <row r="338" spans="13:13" ht="13.2" x14ac:dyDescent="0.25">
      <c r="M338" s="1"/>
    </row>
    <row r="339" spans="13:13" ht="13.2" x14ac:dyDescent="0.25">
      <c r="M339" s="1"/>
    </row>
    <row r="340" spans="13:13" ht="13.2" x14ac:dyDescent="0.25">
      <c r="M340" s="1"/>
    </row>
    <row r="341" spans="13:13" ht="13.2" x14ac:dyDescent="0.25">
      <c r="M341" s="1"/>
    </row>
    <row r="342" spans="13:13" ht="13.2" x14ac:dyDescent="0.25">
      <c r="M342" s="1"/>
    </row>
    <row r="343" spans="13:13" ht="13.2" x14ac:dyDescent="0.25">
      <c r="M343" s="1"/>
    </row>
    <row r="344" spans="13:13" ht="13.2" x14ac:dyDescent="0.25">
      <c r="M344" s="1"/>
    </row>
    <row r="345" spans="13:13" ht="13.2" x14ac:dyDescent="0.25">
      <c r="M345" s="1"/>
    </row>
    <row r="346" spans="13:13" ht="13.2" x14ac:dyDescent="0.25">
      <c r="M346" s="1"/>
    </row>
    <row r="347" spans="13:13" ht="13.2" x14ac:dyDescent="0.25">
      <c r="M347" s="1"/>
    </row>
    <row r="348" spans="13:13" ht="13.2" x14ac:dyDescent="0.25">
      <c r="M348" s="1"/>
    </row>
    <row r="349" spans="13:13" ht="13.2" x14ac:dyDescent="0.25">
      <c r="M349" s="1"/>
    </row>
    <row r="350" spans="13:13" ht="13.2" x14ac:dyDescent="0.25">
      <c r="M350" s="1"/>
    </row>
    <row r="351" spans="13:13" ht="13.2" x14ac:dyDescent="0.25">
      <c r="M351" s="1"/>
    </row>
    <row r="352" spans="13:13" ht="13.2" x14ac:dyDescent="0.25">
      <c r="M352" s="1"/>
    </row>
    <row r="353" spans="13:13" ht="13.2" x14ac:dyDescent="0.25">
      <c r="M353" s="1"/>
    </row>
    <row r="354" spans="13:13" ht="13.2" x14ac:dyDescent="0.25">
      <c r="M354" s="1"/>
    </row>
    <row r="355" spans="13:13" ht="13.2" x14ac:dyDescent="0.25">
      <c r="M355" s="1"/>
    </row>
    <row r="356" spans="13:13" ht="13.2" x14ac:dyDescent="0.25">
      <c r="M356" s="1"/>
    </row>
    <row r="357" spans="13:13" ht="13.2" x14ac:dyDescent="0.25">
      <c r="M357" s="1"/>
    </row>
    <row r="358" spans="13:13" ht="13.2" x14ac:dyDescent="0.25">
      <c r="M358" s="1"/>
    </row>
    <row r="359" spans="13:13" ht="13.2" x14ac:dyDescent="0.25">
      <c r="M359" s="1"/>
    </row>
    <row r="360" spans="13:13" ht="13.2" x14ac:dyDescent="0.25">
      <c r="M360" s="1"/>
    </row>
    <row r="361" spans="13:13" ht="13.2" x14ac:dyDescent="0.25">
      <c r="M361" s="1"/>
    </row>
    <row r="362" spans="13:13" ht="13.2" x14ac:dyDescent="0.25">
      <c r="M362" s="1"/>
    </row>
    <row r="363" spans="13:13" ht="13.2" x14ac:dyDescent="0.25">
      <c r="M363" s="1"/>
    </row>
    <row r="364" spans="13:13" ht="13.2" x14ac:dyDescent="0.25">
      <c r="M364" s="1"/>
    </row>
    <row r="365" spans="13:13" ht="13.2" x14ac:dyDescent="0.25">
      <c r="M365" s="1"/>
    </row>
    <row r="366" spans="13:13" ht="13.2" x14ac:dyDescent="0.25">
      <c r="M366" s="1"/>
    </row>
    <row r="367" spans="13:13" ht="13.2" x14ac:dyDescent="0.25">
      <c r="M367" s="1"/>
    </row>
    <row r="368" spans="13:13" ht="13.2" x14ac:dyDescent="0.25">
      <c r="M368" s="1"/>
    </row>
    <row r="369" spans="13:13" ht="13.2" x14ac:dyDescent="0.25">
      <c r="M369" s="1"/>
    </row>
    <row r="370" spans="13:13" ht="13.2" x14ac:dyDescent="0.25">
      <c r="M370" s="1"/>
    </row>
    <row r="371" spans="13:13" ht="13.2" x14ac:dyDescent="0.25">
      <c r="M371" s="1"/>
    </row>
    <row r="372" spans="13:13" ht="13.2" x14ac:dyDescent="0.25">
      <c r="M372" s="1"/>
    </row>
    <row r="373" spans="13:13" ht="13.2" x14ac:dyDescent="0.25">
      <c r="M373" s="1"/>
    </row>
    <row r="374" spans="13:13" ht="13.2" x14ac:dyDescent="0.25">
      <c r="M374" s="1"/>
    </row>
    <row r="375" spans="13:13" ht="13.2" x14ac:dyDescent="0.25">
      <c r="M375" s="1"/>
    </row>
    <row r="376" spans="13:13" ht="13.2" x14ac:dyDescent="0.25">
      <c r="M376" s="1"/>
    </row>
    <row r="377" spans="13:13" ht="13.2" x14ac:dyDescent="0.25">
      <c r="M377" s="1"/>
    </row>
    <row r="378" spans="13:13" ht="13.2" x14ac:dyDescent="0.25">
      <c r="M378" s="1"/>
    </row>
    <row r="379" spans="13:13" ht="13.2" x14ac:dyDescent="0.25">
      <c r="M379" s="1"/>
    </row>
    <row r="380" spans="13:13" ht="13.2" x14ac:dyDescent="0.25">
      <c r="M380" s="1"/>
    </row>
    <row r="381" spans="13:13" ht="13.2" x14ac:dyDescent="0.25">
      <c r="M381" s="1"/>
    </row>
    <row r="382" spans="13:13" ht="13.2" x14ac:dyDescent="0.25">
      <c r="M382" s="1"/>
    </row>
    <row r="383" spans="13:13" ht="13.2" x14ac:dyDescent="0.25">
      <c r="M383" s="1"/>
    </row>
    <row r="384" spans="13:13" ht="13.2" x14ac:dyDescent="0.25">
      <c r="M384" s="1"/>
    </row>
    <row r="385" spans="13:13" ht="13.2" x14ac:dyDescent="0.25">
      <c r="M385" s="1"/>
    </row>
    <row r="386" spans="13:13" ht="13.2" x14ac:dyDescent="0.25">
      <c r="M386" s="1"/>
    </row>
    <row r="387" spans="13:13" ht="13.2" x14ac:dyDescent="0.25">
      <c r="M387" s="1"/>
    </row>
    <row r="388" spans="13:13" ht="13.2" x14ac:dyDescent="0.25">
      <c r="M388" s="1"/>
    </row>
    <row r="389" spans="13:13" ht="13.2" x14ac:dyDescent="0.25">
      <c r="M389" s="1"/>
    </row>
    <row r="390" spans="13:13" ht="13.2" x14ac:dyDescent="0.25">
      <c r="M390" s="1"/>
    </row>
    <row r="391" spans="13:13" ht="13.2" x14ac:dyDescent="0.25">
      <c r="M391" s="1"/>
    </row>
    <row r="392" spans="13:13" ht="13.2" x14ac:dyDescent="0.25">
      <c r="M392" s="1"/>
    </row>
    <row r="393" spans="13:13" ht="13.2" x14ac:dyDescent="0.25">
      <c r="M393" s="1"/>
    </row>
    <row r="394" spans="13:13" ht="13.2" x14ac:dyDescent="0.25">
      <c r="M394" s="1"/>
    </row>
    <row r="395" spans="13:13" ht="13.2" x14ac:dyDescent="0.25">
      <c r="M395" s="1"/>
    </row>
    <row r="396" spans="13:13" ht="13.2" x14ac:dyDescent="0.25">
      <c r="M396" s="1"/>
    </row>
    <row r="397" spans="13:13" ht="13.2" x14ac:dyDescent="0.25">
      <c r="M397" s="1"/>
    </row>
    <row r="398" spans="13:13" ht="13.2" x14ac:dyDescent="0.25">
      <c r="M398" s="1"/>
    </row>
    <row r="399" spans="13:13" ht="13.2" x14ac:dyDescent="0.25">
      <c r="M399" s="1"/>
    </row>
    <row r="400" spans="13:13" ht="13.2" x14ac:dyDescent="0.25">
      <c r="M400" s="1"/>
    </row>
    <row r="401" spans="13:13" ht="13.2" x14ac:dyDescent="0.25">
      <c r="M401" s="1"/>
    </row>
    <row r="402" spans="13:13" ht="13.2" x14ac:dyDescent="0.25">
      <c r="M402" s="1"/>
    </row>
    <row r="403" spans="13:13" ht="13.2" x14ac:dyDescent="0.25">
      <c r="M403" s="1"/>
    </row>
    <row r="404" spans="13:13" ht="13.2" x14ac:dyDescent="0.25">
      <c r="M404" s="1"/>
    </row>
    <row r="405" spans="13:13" ht="13.2" x14ac:dyDescent="0.25">
      <c r="M405" s="1"/>
    </row>
    <row r="406" spans="13:13" ht="13.2" x14ac:dyDescent="0.25">
      <c r="M406" s="1"/>
    </row>
    <row r="407" spans="13:13" ht="13.2" x14ac:dyDescent="0.25">
      <c r="M407" s="1"/>
    </row>
    <row r="408" spans="13:13" ht="13.2" x14ac:dyDescent="0.25">
      <c r="M408" s="1"/>
    </row>
    <row r="409" spans="13:13" ht="13.2" x14ac:dyDescent="0.25">
      <c r="M409" s="1"/>
    </row>
    <row r="410" spans="13:13" ht="13.2" x14ac:dyDescent="0.25">
      <c r="M410" s="1"/>
    </row>
    <row r="411" spans="13:13" ht="13.2" x14ac:dyDescent="0.25">
      <c r="M411" s="1"/>
    </row>
    <row r="412" spans="13:13" ht="13.2" x14ac:dyDescent="0.25">
      <c r="M412" s="1"/>
    </row>
    <row r="413" spans="13:13" ht="13.2" x14ac:dyDescent="0.25">
      <c r="M413" s="1"/>
    </row>
    <row r="414" spans="13:13" ht="13.2" x14ac:dyDescent="0.25">
      <c r="M414" s="1"/>
    </row>
    <row r="415" spans="13:13" ht="13.2" x14ac:dyDescent="0.25">
      <c r="M415" s="1"/>
    </row>
    <row r="416" spans="13:13" ht="13.2" x14ac:dyDescent="0.25">
      <c r="M416" s="1"/>
    </row>
    <row r="417" spans="13:13" ht="13.2" x14ac:dyDescent="0.25">
      <c r="M417" s="1"/>
    </row>
    <row r="418" spans="13:13" ht="13.2" x14ac:dyDescent="0.25">
      <c r="M418" s="1"/>
    </row>
    <row r="419" spans="13:13" ht="13.2" x14ac:dyDescent="0.25">
      <c r="M419" s="1"/>
    </row>
    <row r="420" spans="13:13" ht="13.2" x14ac:dyDescent="0.25">
      <c r="M420" s="1"/>
    </row>
    <row r="421" spans="13:13" ht="13.2" x14ac:dyDescent="0.25">
      <c r="M421" s="1"/>
    </row>
    <row r="422" spans="13:13" ht="13.2" x14ac:dyDescent="0.25">
      <c r="M422" s="1"/>
    </row>
    <row r="423" spans="13:13" ht="13.2" x14ac:dyDescent="0.25">
      <c r="M423" s="1"/>
    </row>
    <row r="424" spans="13:13" ht="13.2" x14ac:dyDescent="0.25">
      <c r="M424" s="1"/>
    </row>
    <row r="425" spans="13:13" ht="13.2" x14ac:dyDescent="0.25">
      <c r="M425" s="1"/>
    </row>
    <row r="426" spans="13:13" ht="13.2" x14ac:dyDescent="0.25">
      <c r="M426" s="1"/>
    </row>
    <row r="427" spans="13:13" ht="13.2" x14ac:dyDescent="0.25">
      <c r="M427" s="1"/>
    </row>
    <row r="428" spans="13:13" ht="13.2" x14ac:dyDescent="0.25">
      <c r="M428" s="1"/>
    </row>
    <row r="429" spans="13:13" ht="13.2" x14ac:dyDescent="0.25">
      <c r="M429" s="1"/>
    </row>
    <row r="430" spans="13:13" ht="13.2" x14ac:dyDescent="0.25">
      <c r="M430" s="1"/>
    </row>
    <row r="431" spans="13:13" ht="13.2" x14ac:dyDescent="0.25">
      <c r="M431" s="1"/>
    </row>
    <row r="432" spans="13:13" ht="13.2" x14ac:dyDescent="0.25">
      <c r="M432" s="1"/>
    </row>
    <row r="433" spans="13:13" ht="13.2" x14ac:dyDescent="0.25">
      <c r="M433" s="1"/>
    </row>
    <row r="434" spans="13:13" ht="13.2" x14ac:dyDescent="0.25">
      <c r="M434" s="1"/>
    </row>
    <row r="435" spans="13:13" ht="13.2" x14ac:dyDescent="0.25">
      <c r="M435" s="1"/>
    </row>
    <row r="436" spans="13:13" ht="13.2" x14ac:dyDescent="0.25">
      <c r="M436" s="1"/>
    </row>
    <row r="437" spans="13:13" ht="13.2" x14ac:dyDescent="0.25">
      <c r="M437" s="1"/>
    </row>
    <row r="438" spans="13:13" ht="13.2" x14ac:dyDescent="0.25">
      <c r="M438" s="1"/>
    </row>
    <row r="439" spans="13:13" ht="13.2" x14ac:dyDescent="0.25">
      <c r="M439" s="1"/>
    </row>
    <row r="440" spans="13:13" ht="13.2" x14ac:dyDescent="0.25">
      <c r="M440" s="1"/>
    </row>
    <row r="441" spans="13:13" ht="13.2" x14ac:dyDescent="0.25">
      <c r="M441" s="1"/>
    </row>
    <row r="442" spans="13:13" ht="13.2" x14ac:dyDescent="0.25">
      <c r="M442" s="1"/>
    </row>
    <row r="443" spans="13:13" ht="13.2" x14ac:dyDescent="0.25">
      <c r="M443" s="1"/>
    </row>
    <row r="444" spans="13:13" ht="13.2" x14ac:dyDescent="0.25">
      <c r="M444" s="1"/>
    </row>
    <row r="445" spans="13:13" ht="13.2" x14ac:dyDescent="0.25">
      <c r="M445" s="1"/>
    </row>
    <row r="446" spans="13:13" ht="13.2" x14ac:dyDescent="0.25">
      <c r="M446" s="1"/>
    </row>
    <row r="447" spans="13:13" ht="13.2" x14ac:dyDescent="0.25">
      <c r="M447" s="1"/>
    </row>
    <row r="448" spans="13:13" ht="13.2" x14ac:dyDescent="0.25">
      <c r="M448" s="1"/>
    </row>
    <row r="449" spans="13:13" ht="13.2" x14ac:dyDescent="0.25">
      <c r="M449" s="1"/>
    </row>
    <row r="450" spans="13:13" ht="13.2" x14ac:dyDescent="0.25">
      <c r="M450" s="1"/>
    </row>
    <row r="451" spans="13:13" ht="13.2" x14ac:dyDescent="0.25">
      <c r="M451" s="1"/>
    </row>
    <row r="452" spans="13:13" ht="13.2" x14ac:dyDescent="0.25">
      <c r="M452" s="1"/>
    </row>
    <row r="453" spans="13:13" ht="13.2" x14ac:dyDescent="0.25">
      <c r="M453" s="1"/>
    </row>
    <row r="454" spans="13:13" ht="13.2" x14ac:dyDescent="0.25">
      <c r="M454" s="1"/>
    </row>
    <row r="455" spans="13:13" ht="13.2" x14ac:dyDescent="0.25">
      <c r="M455" s="1"/>
    </row>
    <row r="456" spans="13:13" ht="13.2" x14ac:dyDescent="0.25">
      <c r="M456" s="1"/>
    </row>
    <row r="457" spans="13:13" ht="13.2" x14ac:dyDescent="0.25">
      <c r="M457" s="1"/>
    </row>
    <row r="458" spans="13:13" ht="13.2" x14ac:dyDescent="0.25">
      <c r="M458" s="1"/>
    </row>
    <row r="459" spans="13:13" ht="13.2" x14ac:dyDescent="0.25">
      <c r="M459" s="1"/>
    </row>
    <row r="460" spans="13:13" ht="13.2" x14ac:dyDescent="0.25">
      <c r="M460" s="1"/>
    </row>
    <row r="461" spans="13:13" ht="13.2" x14ac:dyDescent="0.25">
      <c r="M461" s="1"/>
    </row>
    <row r="462" spans="13:13" ht="13.2" x14ac:dyDescent="0.25">
      <c r="M462" s="1"/>
    </row>
    <row r="463" spans="13:13" ht="13.2" x14ac:dyDescent="0.25">
      <c r="M463" s="1"/>
    </row>
    <row r="464" spans="13:13" ht="13.2" x14ac:dyDescent="0.25">
      <c r="M464" s="1"/>
    </row>
    <row r="465" spans="13:13" ht="13.2" x14ac:dyDescent="0.25">
      <c r="M465" s="1"/>
    </row>
    <row r="466" spans="13:13" ht="13.2" x14ac:dyDescent="0.25">
      <c r="M466" s="1"/>
    </row>
    <row r="467" spans="13:13" ht="13.2" x14ac:dyDescent="0.25">
      <c r="M467" s="1"/>
    </row>
    <row r="468" spans="13:13" ht="13.2" x14ac:dyDescent="0.25">
      <c r="M468" s="1"/>
    </row>
    <row r="469" spans="13:13" ht="13.2" x14ac:dyDescent="0.25">
      <c r="M469" s="1"/>
    </row>
    <row r="470" spans="13:13" ht="13.2" x14ac:dyDescent="0.25">
      <c r="M470" s="1"/>
    </row>
    <row r="471" spans="13:13" ht="13.2" x14ac:dyDescent="0.25">
      <c r="M471" s="1"/>
    </row>
    <row r="472" spans="13:13" ht="13.2" x14ac:dyDescent="0.25">
      <c r="M472" s="1"/>
    </row>
    <row r="473" spans="13:13" ht="13.2" x14ac:dyDescent="0.25">
      <c r="M473" s="1"/>
    </row>
    <row r="474" spans="13:13" ht="13.2" x14ac:dyDescent="0.25">
      <c r="M474" s="1"/>
    </row>
    <row r="475" spans="13:13" ht="13.2" x14ac:dyDescent="0.25">
      <c r="M475" s="1"/>
    </row>
    <row r="476" spans="13:13" ht="13.2" x14ac:dyDescent="0.25">
      <c r="M476" s="1"/>
    </row>
    <row r="477" spans="13:13" ht="13.2" x14ac:dyDescent="0.25">
      <c r="M477" s="1"/>
    </row>
    <row r="478" spans="13:13" ht="13.2" x14ac:dyDescent="0.25">
      <c r="M478" s="1"/>
    </row>
    <row r="479" spans="13:13" ht="13.2" x14ac:dyDescent="0.25">
      <c r="M479" s="1"/>
    </row>
    <row r="480" spans="13:13" ht="13.2" x14ac:dyDescent="0.25">
      <c r="M480" s="1"/>
    </row>
    <row r="481" spans="13:13" ht="13.2" x14ac:dyDescent="0.25">
      <c r="M481" s="1"/>
    </row>
    <row r="482" spans="13:13" ht="13.2" x14ac:dyDescent="0.25">
      <c r="M482" s="1"/>
    </row>
    <row r="483" spans="13:13" ht="13.2" x14ac:dyDescent="0.25">
      <c r="M483" s="1"/>
    </row>
    <row r="484" spans="13:13" ht="13.2" x14ac:dyDescent="0.25">
      <c r="M484" s="1"/>
    </row>
    <row r="485" spans="13:13" ht="13.2" x14ac:dyDescent="0.25">
      <c r="M485" s="1"/>
    </row>
    <row r="486" spans="13:13" ht="13.2" x14ac:dyDescent="0.25">
      <c r="M486" s="1"/>
    </row>
    <row r="487" spans="13:13" ht="13.2" x14ac:dyDescent="0.25">
      <c r="M487" s="1"/>
    </row>
    <row r="488" spans="13:13" ht="13.2" x14ac:dyDescent="0.25">
      <c r="M488" s="1"/>
    </row>
    <row r="489" spans="13:13" ht="13.2" x14ac:dyDescent="0.25">
      <c r="M489" s="1"/>
    </row>
    <row r="490" spans="13:13" ht="13.2" x14ac:dyDescent="0.25">
      <c r="M490" s="1"/>
    </row>
    <row r="491" spans="13:13" ht="13.2" x14ac:dyDescent="0.25">
      <c r="M491" s="1"/>
    </row>
    <row r="492" spans="13:13" ht="13.2" x14ac:dyDescent="0.25">
      <c r="M492" s="1"/>
    </row>
    <row r="493" spans="13:13" ht="13.2" x14ac:dyDescent="0.25">
      <c r="M493" s="1"/>
    </row>
    <row r="494" spans="13:13" ht="13.2" x14ac:dyDescent="0.25">
      <c r="M494" s="1"/>
    </row>
    <row r="495" spans="13:13" ht="13.2" x14ac:dyDescent="0.25">
      <c r="M495" s="1"/>
    </row>
    <row r="496" spans="13:13" ht="13.2" x14ac:dyDescent="0.25">
      <c r="M496" s="1"/>
    </row>
    <row r="497" spans="13:13" ht="13.2" x14ac:dyDescent="0.25">
      <c r="M497" s="1"/>
    </row>
    <row r="498" spans="13:13" ht="13.2" x14ac:dyDescent="0.25">
      <c r="M498" s="1"/>
    </row>
    <row r="499" spans="13:13" ht="13.2" x14ac:dyDescent="0.25">
      <c r="M499" s="1"/>
    </row>
    <row r="500" spans="13:13" ht="13.2" x14ac:dyDescent="0.25">
      <c r="M500" s="1"/>
    </row>
    <row r="501" spans="13:13" ht="13.2" x14ac:dyDescent="0.25">
      <c r="M501" s="1"/>
    </row>
    <row r="502" spans="13:13" ht="13.2" x14ac:dyDescent="0.25">
      <c r="M502" s="1"/>
    </row>
    <row r="503" spans="13:13" ht="13.2" x14ac:dyDescent="0.25">
      <c r="M503" s="1"/>
    </row>
    <row r="504" spans="13:13" ht="13.2" x14ac:dyDescent="0.25">
      <c r="M504" s="1"/>
    </row>
    <row r="505" spans="13:13" ht="13.2" x14ac:dyDescent="0.25">
      <c r="M505" s="1"/>
    </row>
    <row r="506" spans="13:13" ht="13.2" x14ac:dyDescent="0.25">
      <c r="M506" s="1"/>
    </row>
    <row r="507" spans="13:13" ht="13.2" x14ac:dyDescent="0.25">
      <c r="M507" s="1"/>
    </row>
    <row r="508" spans="13:13" ht="13.2" x14ac:dyDescent="0.25">
      <c r="M508" s="1"/>
    </row>
    <row r="509" spans="13:13" ht="13.2" x14ac:dyDescent="0.25">
      <c r="M509" s="1"/>
    </row>
    <row r="510" spans="13:13" ht="13.2" x14ac:dyDescent="0.25">
      <c r="M510" s="1"/>
    </row>
    <row r="511" spans="13:13" ht="13.2" x14ac:dyDescent="0.25">
      <c r="M511" s="1"/>
    </row>
    <row r="512" spans="13:13" ht="13.2" x14ac:dyDescent="0.25">
      <c r="M512" s="1"/>
    </row>
    <row r="513" spans="13:13" ht="13.2" x14ac:dyDescent="0.25">
      <c r="M513" s="1"/>
    </row>
    <row r="514" spans="13:13" ht="13.2" x14ac:dyDescent="0.25">
      <c r="M514" s="1"/>
    </row>
    <row r="515" spans="13:13" ht="13.2" x14ac:dyDescent="0.25">
      <c r="M515" s="1"/>
    </row>
    <row r="516" spans="13:13" ht="13.2" x14ac:dyDescent="0.25">
      <c r="M516" s="1"/>
    </row>
    <row r="517" spans="13:13" ht="13.2" x14ac:dyDescent="0.25">
      <c r="M517" s="1"/>
    </row>
    <row r="518" spans="13:13" ht="13.2" x14ac:dyDescent="0.25">
      <c r="M518" s="1"/>
    </row>
    <row r="519" spans="13:13" ht="13.2" x14ac:dyDescent="0.25">
      <c r="M519" s="1"/>
    </row>
    <row r="520" spans="13:13" ht="13.2" x14ac:dyDescent="0.25">
      <c r="M520" s="1"/>
    </row>
    <row r="521" spans="13:13" ht="13.2" x14ac:dyDescent="0.25">
      <c r="M521" s="1"/>
    </row>
    <row r="522" spans="13:13" ht="13.2" x14ac:dyDescent="0.25">
      <c r="M522" s="1"/>
    </row>
    <row r="523" spans="13:13" ht="13.2" x14ac:dyDescent="0.25">
      <c r="M523" s="1"/>
    </row>
    <row r="524" spans="13:13" ht="13.2" x14ac:dyDescent="0.25">
      <c r="M524" s="1"/>
    </row>
    <row r="525" spans="13:13" ht="13.2" x14ac:dyDescent="0.25">
      <c r="M525" s="1"/>
    </row>
    <row r="526" spans="13:13" ht="13.2" x14ac:dyDescent="0.25">
      <c r="M526" s="1"/>
    </row>
    <row r="527" spans="13:13" ht="13.2" x14ac:dyDescent="0.25">
      <c r="M527" s="1"/>
    </row>
    <row r="528" spans="13:13" ht="13.2" x14ac:dyDescent="0.25">
      <c r="M528" s="1"/>
    </row>
    <row r="529" spans="13:13" ht="13.2" x14ac:dyDescent="0.25">
      <c r="M529" s="1"/>
    </row>
    <row r="530" spans="13:13" ht="13.2" x14ac:dyDescent="0.25">
      <c r="M530" s="1"/>
    </row>
    <row r="531" spans="13:13" ht="13.2" x14ac:dyDescent="0.25">
      <c r="M531" s="1"/>
    </row>
    <row r="532" spans="13:13" ht="13.2" x14ac:dyDescent="0.25">
      <c r="M532" s="1"/>
    </row>
    <row r="533" spans="13:13" ht="13.2" x14ac:dyDescent="0.25">
      <c r="M533" s="1"/>
    </row>
    <row r="534" spans="13:13" ht="13.2" x14ac:dyDescent="0.25">
      <c r="M534" s="1"/>
    </row>
    <row r="535" spans="13:13" ht="13.2" x14ac:dyDescent="0.25">
      <c r="M535" s="1"/>
    </row>
    <row r="536" spans="13:13" ht="13.2" x14ac:dyDescent="0.25">
      <c r="M536" s="1"/>
    </row>
    <row r="537" spans="13:13" ht="13.2" x14ac:dyDescent="0.25">
      <c r="M537" s="1"/>
    </row>
    <row r="538" spans="13:13" ht="13.2" x14ac:dyDescent="0.25">
      <c r="M538" s="1"/>
    </row>
    <row r="539" spans="13:13" ht="13.2" x14ac:dyDescent="0.25">
      <c r="M539" s="1"/>
    </row>
    <row r="540" spans="13:13" ht="13.2" x14ac:dyDescent="0.25">
      <c r="M540" s="1"/>
    </row>
    <row r="541" spans="13:13" ht="13.2" x14ac:dyDescent="0.25">
      <c r="M541" s="1"/>
    </row>
    <row r="542" spans="13:13" ht="13.2" x14ac:dyDescent="0.25">
      <c r="M542" s="1"/>
    </row>
    <row r="543" spans="13:13" ht="13.2" x14ac:dyDescent="0.25">
      <c r="M543" s="1"/>
    </row>
    <row r="544" spans="13:13" ht="13.2" x14ac:dyDescent="0.25">
      <c r="M544" s="1"/>
    </row>
    <row r="545" spans="13:13" ht="13.2" x14ac:dyDescent="0.25">
      <c r="M545" s="1"/>
    </row>
    <row r="546" spans="13:13" ht="13.2" x14ac:dyDescent="0.25">
      <c r="M546" s="1"/>
    </row>
    <row r="547" spans="13:13" ht="13.2" x14ac:dyDescent="0.25">
      <c r="M547" s="1"/>
    </row>
    <row r="548" spans="13:13" ht="13.2" x14ac:dyDescent="0.25">
      <c r="M548" s="1"/>
    </row>
    <row r="549" spans="13:13" ht="13.2" x14ac:dyDescent="0.25">
      <c r="M549" s="1"/>
    </row>
    <row r="550" spans="13:13" ht="13.2" x14ac:dyDescent="0.25">
      <c r="M550" s="1"/>
    </row>
    <row r="551" spans="13:13" ht="13.2" x14ac:dyDescent="0.25">
      <c r="M551" s="1"/>
    </row>
    <row r="552" spans="13:13" ht="13.2" x14ac:dyDescent="0.25">
      <c r="M552" s="1"/>
    </row>
    <row r="553" spans="13:13" ht="13.2" x14ac:dyDescent="0.25">
      <c r="M553" s="1"/>
    </row>
    <row r="554" spans="13:13" ht="13.2" x14ac:dyDescent="0.25">
      <c r="M554" s="1"/>
    </row>
    <row r="555" spans="13:13" ht="13.2" x14ac:dyDescent="0.25">
      <c r="M555" s="1"/>
    </row>
    <row r="556" spans="13:13" ht="13.2" x14ac:dyDescent="0.25">
      <c r="M556" s="1"/>
    </row>
    <row r="557" spans="13:13" ht="13.2" x14ac:dyDescent="0.25">
      <c r="M557" s="1"/>
    </row>
    <row r="558" spans="13:13" ht="13.2" x14ac:dyDescent="0.25">
      <c r="M558" s="1"/>
    </row>
    <row r="559" spans="13:13" ht="13.2" x14ac:dyDescent="0.25">
      <c r="M559" s="1"/>
    </row>
    <row r="560" spans="13:13" ht="13.2" x14ac:dyDescent="0.25">
      <c r="M560" s="1"/>
    </row>
    <row r="561" spans="13:13" ht="13.2" x14ac:dyDescent="0.25">
      <c r="M561" s="1"/>
    </row>
    <row r="562" spans="13:13" ht="13.2" x14ac:dyDescent="0.25">
      <c r="M562" s="1"/>
    </row>
    <row r="563" spans="13:13" ht="13.2" x14ac:dyDescent="0.25">
      <c r="M563" s="1"/>
    </row>
    <row r="564" spans="13:13" ht="13.2" x14ac:dyDescent="0.25">
      <c r="M564" s="1"/>
    </row>
    <row r="565" spans="13:13" ht="13.2" x14ac:dyDescent="0.25">
      <c r="M565" s="1"/>
    </row>
    <row r="566" spans="13:13" ht="13.2" x14ac:dyDescent="0.25">
      <c r="M566" s="1"/>
    </row>
    <row r="567" spans="13:13" ht="13.2" x14ac:dyDescent="0.25">
      <c r="M567" s="1"/>
    </row>
    <row r="568" spans="13:13" ht="13.2" x14ac:dyDescent="0.25">
      <c r="M568" s="1"/>
    </row>
    <row r="569" spans="13:13" ht="13.2" x14ac:dyDescent="0.25">
      <c r="M569" s="1"/>
    </row>
    <row r="570" spans="13:13" ht="13.2" x14ac:dyDescent="0.25">
      <c r="M570" s="1"/>
    </row>
    <row r="571" spans="13:13" ht="13.2" x14ac:dyDescent="0.25">
      <c r="M571" s="1"/>
    </row>
    <row r="572" spans="13:13" ht="13.2" x14ac:dyDescent="0.25">
      <c r="M572" s="1"/>
    </row>
    <row r="573" spans="13:13" ht="13.2" x14ac:dyDescent="0.25">
      <c r="M573" s="1"/>
    </row>
    <row r="574" spans="13:13" ht="13.2" x14ac:dyDescent="0.25">
      <c r="M574" s="1"/>
    </row>
    <row r="575" spans="13:13" ht="13.2" x14ac:dyDescent="0.25">
      <c r="M575" s="1"/>
    </row>
    <row r="576" spans="13:13" ht="13.2" x14ac:dyDescent="0.25">
      <c r="M576" s="1"/>
    </row>
    <row r="577" spans="13:13" ht="13.2" x14ac:dyDescent="0.25">
      <c r="M577" s="1"/>
    </row>
    <row r="578" spans="13:13" ht="13.2" x14ac:dyDescent="0.25">
      <c r="M578" s="1"/>
    </row>
    <row r="579" spans="13:13" ht="13.2" x14ac:dyDescent="0.25">
      <c r="M579" s="1"/>
    </row>
    <row r="580" spans="13:13" ht="13.2" x14ac:dyDescent="0.25">
      <c r="M580" s="1"/>
    </row>
    <row r="581" spans="13:13" ht="13.2" x14ac:dyDescent="0.25">
      <c r="M581" s="1"/>
    </row>
    <row r="582" spans="13:13" ht="13.2" x14ac:dyDescent="0.25">
      <c r="M582" s="1"/>
    </row>
    <row r="583" spans="13:13" ht="13.2" x14ac:dyDescent="0.25">
      <c r="M583" s="1"/>
    </row>
    <row r="584" spans="13:13" ht="13.2" x14ac:dyDescent="0.25">
      <c r="M584" s="1"/>
    </row>
    <row r="585" spans="13:13" ht="13.2" x14ac:dyDescent="0.25">
      <c r="M585" s="1"/>
    </row>
    <row r="586" spans="13:13" ht="13.2" x14ac:dyDescent="0.25">
      <c r="M586" s="1"/>
    </row>
    <row r="587" spans="13:13" ht="13.2" x14ac:dyDescent="0.25">
      <c r="M587" s="1"/>
    </row>
    <row r="588" spans="13:13" ht="13.2" x14ac:dyDescent="0.25">
      <c r="M588" s="1"/>
    </row>
    <row r="589" spans="13:13" ht="13.2" x14ac:dyDescent="0.25">
      <c r="M589" s="1"/>
    </row>
    <row r="590" spans="13:13" ht="13.2" x14ac:dyDescent="0.25">
      <c r="M590" s="1"/>
    </row>
    <row r="591" spans="13:13" ht="13.2" x14ac:dyDescent="0.25">
      <c r="M591" s="1"/>
    </row>
    <row r="592" spans="13:13" ht="13.2" x14ac:dyDescent="0.25">
      <c r="M592" s="1"/>
    </row>
    <row r="593" spans="13:13" ht="13.2" x14ac:dyDescent="0.25">
      <c r="M593" s="1"/>
    </row>
    <row r="594" spans="13:13" ht="13.2" x14ac:dyDescent="0.25">
      <c r="M594" s="1"/>
    </row>
    <row r="595" spans="13:13" ht="13.2" x14ac:dyDescent="0.25">
      <c r="M595" s="1"/>
    </row>
    <row r="596" spans="13:13" ht="13.2" x14ac:dyDescent="0.25">
      <c r="M596" s="1"/>
    </row>
    <row r="597" spans="13:13" ht="13.2" x14ac:dyDescent="0.25">
      <c r="M597" s="1"/>
    </row>
    <row r="598" spans="13:13" ht="13.2" x14ac:dyDescent="0.25">
      <c r="M598" s="1"/>
    </row>
    <row r="599" spans="13:13" ht="13.2" x14ac:dyDescent="0.25">
      <c r="M599" s="1"/>
    </row>
    <row r="600" spans="13:13" ht="13.2" x14ac:dyDescent="0.25">
      <c r="M600" s="1"/>
    </row>
    <row r="601" spans="13:13" ht="13.2" x14ac:dyDescent="0.25">
      <c r="M601" s="1"/>
    </row>
    <row r="602" spans="13:13" ht="13.2" x14ac:dyDescent="0.25">
      <c r="M602" s="1"/>
    </row>
    <row r="603" spans="13:13" ht="13.2" x14ac:dyDescent="0.25">
      <c r="M603" s="1"/>
    </row>
    <row r="604" spans="13:13" ht="13.2" x14ac:dyDescent="0.25">
      <c r="M604" s="1"/>
    </row>
    <row r="605" spans="13:13" ht="13.2" x14ac:dyDescent="0.25">
      <c r="M605" s="1"/>
    </row>
    <row r="606" spans="13:13" ht="13.2" x14ac:dyDescent="0.25">
      <c r="M606" s="1"/>
    </row>
    <row r="607" spans="13:13" ht="13.2" x14ac:dyDescent="0.25">
      <c r="M607" s="1"/>
    </row>
    <row r="608" spans="13:13" ht="13.2" x14ac:dyDescent="0.25">
      <c r="M608" s="1"/>
    </row>
    <row r="609" spans="13:13" ht="13.2" x14ac:dyDescent="0.25">
      <c r="M609" s="1"/>
    </row>
    <row r="610" spans="13:13" ht="13.2" x14ac:dyDescent="0.25">
      <c r="M610" s="1"/>
    </row>
    <row r="611" spans="13:13" ht="13.2" x14ac:dyDescent="0.25">
      <c r="M611" s="1"/>
    </row>
    <row r="612" spans="13:13" ht="13.2" x14ac:dyDescent="0.25">
      <c r="M612" s="1"/>
    </row>
    <row r="613" spans="13:13" ht="13.2" x14ac:dyDescent="0.25">
      <c r="M613" s="1"/>
    </row>
    <row r="614" spans="13:13" ht="13.2" x14ac:dyDescent="0.25">
      <c r="M614" s="1"/>
    </row>
    <row r="615" spans="13:13" ht="13.2" x14ac:dyDescent="0.25">
      <c r="M615" s="1"/>
    </row>
    <row r="616" spans="13:13" ht="13.2" x14ac:dyDescent="0.25">
      <c r="M616" s="1"/>
    </row>
    <row r="617" spans="13:13" ht="13.2" x14ac:dyDescent="0.25">
      <c r="M617" s="1"/>
    </row>
    <row r="618" spans="13:13" ht="13.2" x14ac:dyDescent="0.25">
      <c r="M618" s="1"/>
    </row>
    <row r="619" spans="13:13" ht="13.2" x14ac:dyDescent="0.25">
      <c r="M619" s="1"/>
    </row>
    <row r="620" spans="13:13" ht="13.2" x14ac:dyDescent="0.25">
      <c r="M620" s="1"/>
    </row>
    <row r="621" spans="13:13" ht="13.2" x14ac:dyDescent="0.25">
      <c r="M621" s="1"/>
    </row>
    <row r="622" spans="13:13" ht="13.2" x14ac:dyDescent="0.25">
      <c r="M622" s="1"/>
    </row>
    <row r="623" spans="13:13" ht="13.2" x14ac:dyDescent="0.25">
      <c r="M623" s="1"/>
    </row>
    <row r="624" spans="13:13" ht="13.2" x14ac:dyDescent="0.25">
      <c r="M624" s="1"/>
    </row>
    <row r="625" spans="13:13" ht="13.2" x14ac:dyDescent="0.25">
      <c r="M625" s="1"/>
    </row>
    <row r="626" spans="13:13" ht="13.2" x14ac:dyDescent="0.25">
      <c r="M626" s="1"/>
    </row>
    <row r="627" spans="13:13" ht="13.2" x14ac:dyDescent="0.25">
      <c r="M627" s="1"/>
    </row>
    <row r="628" spans="13:13" ht="13.2" x14ac:dyDescent="0.25">
      <c r="M628" s="1"/>
    </row>
    <row r="629" spans="13:13" ht="13.2" x14ac:dyDescent="0.25">
      <c r="M629" s="1"/>
    </row>
    <row r="630" spans="13:13" ht="13.2" x14ac:dyDescent="0.25">
      <c r="M630" s="1"/>
    </row>
    <row r="631" spans="13:13" ht="13.2" x14ac:dyDescent="0.25">
      <c r="M631" s="1"/>
    </row>
    <row r="632" spans="13:13" ht="13.2" x14ac:dyDescent="0.25">
      <c r="M632" s="1"/>
    </row>
    <row r="633" spans="13:13" ht="13.2" x14ac:dyDescent="0.25">
      <c r="M633" s="1"/>
    </row>
    <row r="634" spans="13:13" ht="13.2" x14ac:dyDescent="0.25">
      <c r="M634" s="1"/>
    </row>
    <row r="635" spans="13:13" ht="13.2" x14ac:dyDescent="0.25">
      <c r="M635" s="1"/>
    </row>
    <row r="636" spans="13:13" ht="13.2" x14ac:dyDescent="0.25">
      <c r="M636" s="1"/>
    </row>
    <row r="637" spans="13:13" ht="13.2" x14ac:dyDescent="0.25">
      <c r="M637" s="1"/>
    </row>
    <row r="638" spans="13:13" ht="13.2" x14ac:dyDescent="0.25">
      <c r="M638" s="1"/>
    </row>
    <row r="639" spans="13:13" ht="13.2" x14ac:dyDescent="0.25">
      <c r="M639" s="1"/>
    </row>
    <row r="640" spans="13:13" ht="13.2" x14ac:dyDescent="0.25">
      <c r="M640" s="1"/>
    </row>
    <row r="641" spans="13:13" ht="13.2" x14ac:dyDescent="0.25">
      <c r="M641" s="1"/>
    </row>
    <row r="642" spans="13:13" ht="13.2" x14ac:dyDescent="0.25">
      <c r="M642" s="1"/>
    </row>
    <row r="643" spans="13:13" ht="13.2" x14ac:dyDescent="0.25">
      <c r="M643" s="1"/>
    </row>
    <row r="644" spans="13:13" ht="13.2" x14ac:dyDescent="0.25">
      <c r="M644" s="1"/>
    </row>
    <row r="645" spans="13:13" ht="13.2" x14ac:dyDescent="0.25">
      <c r="M645" s="1"/>
    </row>
    <row r="646" spans="13:13" ht="13.2" x14ac:dyDescent="0.25">
      <c r="M646" s="1"/>
    </row>
    <row r="647" spans="13:13" ht="13.2" x14ac:dyDescent="0.25">
      <c r="M647" s="1"/>
    </row>
    <row r="648" spans="13:13" ht="13.2" x14ac:dyDescent="0.25">
      <c r="M648" s="1"/>
    </row>
    <row r="649" spans="13:13" ht="13.2" x14ac:dyDescent="0.25">
      <c r="M649" s="1"/>
    </row>
    <row r="650" spans="13:13" ht="13.2" x14ac:dyDescent="0.25">
      <c r="M650" s="1"/>
    </row>
    <row r="651" spans="13:13" ht="13.2" x14ac:dyDescent="0.25">
      <c r="M651" s="1"/>
    </row>
    <row r="652" spans="13:13" ht="13.2" x14ac:dyDescent="0.25">
      <c r="M652" s="1"/>
    </row>
    <row r="653" spans="13:13" ht="13.2" x14ac:dyDescent="0.25">
      <c r="M653" s="1"/>
    </row>
    <row r="654" spans="13:13" ht="13.2" x14ac:dyDescent="0.25">
      <c r="M654" s="1"/>
    </row>
    <row r="655" spans="13:13" ht="13.2" x14ac:dyDescent="0.25">
      <c r="M655" s="1"/>
    </row>
    <row r="656" spans="13:13" ht="13.2" x14ac:dyDescent="0.25">
      <c r="M656" s="1"/>
    </row>
    <row r="657" spans="13:13" ht="13.2" x14ac:dyDescent="0.25">
      <c r="M657" s="1"/>
    </row>
    <row r="658" spans="13:13" ht="13.2" x14ac:dyDescent="0.25">
      <c r="M658" s="1"/>
    </row>
    <row r="659" spans="13:13" ht="13.2" x14ac:dyDescent="0.25">
      <c r="M659" s="1"/>
    </row>
    <row r="660" spans="13:13" ht="13.2" x14ac:dyDescent="0.25">
      <c r="M660" s="1"/>
    </row>
    <row r="661" spans="13:13" ht="13.2" x14ac:dyDescent="0.25">
      <c r="M661" s="1"/>
    </row>
    <row r="662" spans="13:13" ht="13.2" x14ac:dyDescent="0.25">
      <c r="M662" s="1"/>
    </row>
    <row r="663" spans="13:13" ht="13.2" x14ac:dyDescent="0.25">
      <c r="M663" s="1"/>
    </row>
    <row r="664" spans="13:13" ht="13.2" x14ac:dyDescent="0.25">
      <c r="M664" s="1"/>
    </row>
    <row r="665" spans="13:13" ht="13.2" x14ac:dyDescent="0.25">
      <c r="M665" s="1"/>
    </row>
    <row r="666" spans="13:13" ht="13.2" x14ac:dyDescent="0.25">
      <c r="M666" s="1"/>
    </row>
    <row r="667" spans="13:13" ht="13.2" x14ac:dyDescent="0.25">
      <c r="M667" s="1"/>
    </row>
    <row r="668" spans="13:13" ht="13.2" x14ac:dyDescent="0.25">
      <c r="M668" s="1"/>
    </row>
    <row r="669" spans="13:13" ht="13.2" x14ac:dyDescent="0.25">
      <c r="M669" s="1"/>
    </row>
    <row r="670" spans="13:13" ht="13.2" x14ac:dyDescent="0.25">
      <c r="M670" s="1"/>
    </row>
    <row r="671" spans="13:13" ht="13.2" x14ac:dyDescent="0.25">
      <c r="M671" s="1"/>
    </row>
    <row r="672" spans="13:13" ht="13.2" x14ac:dyDescent="0.25">
      <c r="M672" s="1"/>
    </row>
    <row r="673" spans="13:13" ht="13.2" x14ac:dyDescent="0.25">
      <c r="M673" s="1"/>
    </row>
    <row r="674" spans="13:13" ht="13.2" x14ac:dyDescent="0.25">
      <c r="M674" s="1"/>
    </row>
    <row r="675" spans="13:13" ht="13.2" x14ac:dyDescent="0.25">
      <c r="M675" s="1"/>
    </row>
    <row r="676" spans="13:13" ht="13.2" x14ac:dyDescent="0.25">
      <c r="M676" s="1"/>
    </row>
    <row r="677" spans="13:13" ht="13.2" x14ac:dyDescent="0.25">
      <c r="M677" s="1"/>
    </row>
    <row r="678" spans="13:13" ht="13.2" x14ac:dyDescent="0.25">
      <c r="M678" s="1"/>
    </row>
    <row r="679" spans="13:13" ht="13.2" x14ac:dyDescent="0.25">
      <c r="M679" s="1"/>
    </row>
    <row r="680" spans="13:13" ht="13.2" x14ac:dyDescent="0.25">
      <c r="M680" s="1"/>
    </row>
    <row r="681" spans="13:13" ht="13.2" x14ac:dyDescent="0.25">
      <c r="M681" s="1"/>
    </row>
    <row r="682" spans="13:13" ht="13.2" x14ac:dyDescent="0.25">
      <c r="M682" s="1"/>
    </row>
    <row r="683" spans="13:13" ht="13.2" x14ac:dyDescent="0.25">
      <c r="M683" s="1"/>
    </row>
    <row r="684" spans="13:13" ht="13.2" x14ac:dyDescent="0.25">
      <c r="M684" s="1"/>
    </row>
    <row r="685" spans="13:13" ht="13.2" x14ac:dyDescent="0.25">
      <c r="M685" s="1"/>
    </row>
    <row r="686" spans="13:13" ht="13.2" x14ac:dyDescent="0.25">
      <c r="M686" s="1"/>
    </row>
    <row r="687" spans="13:13" ht="13.2" x14ac:dyDescent="0.25">
      <c r="M687" s="1"/>
    </row>
    <row r="688" spans="13:13" ht="13.2" x14ac:dyDescent="0.25">
      <c r="M688" s="1"/>
    </row>
    <row r="689" spans="13:13" ht="13.2" x14ac:dyDescent="0.25">
      <c r="M689" s="1"/>
    </row>
    <row r="690" spans="13:13" ht="13.2" x14ac:dyDescent="0.25">
      <c r="M690" s="1"/>
    </row>
    <row r="691" spans="13:13" ht="13.2" x14ac:dyDescent="0.25">
      <c r="M691" s="1"/>
    </row>
    <row r="692" spans="13:13" ht="13.2" x14ac:dyDescent="0.25">
      <c r="M692" s="1"/>
    </row>
    <row r="693" spans="13:13" ht="13.2" x14ac:dyDescent="0.25">
      <c r="M693" s="1"/>
    </row>
    <row r="694" spans="13:13" ht="13.2" x14ac:dyDescent="0.25">
      <c r="M694" s="1"/>
    </row>
    <row r="695" spans="13:13" ht="13.2" x14ac:dyDescent="0.25">
      <c r="M695" s="1"/>
    </row>
    <row r="696" spans="13:13" ht="13.2" x14ac:dyDescent="0.25">
      <c r="M696" s="1"/>
    </row>
    <row r="697" spans="13:13" ht="13.2" x14ac:dyDescent="0.25">
      <c r="M697" s="1"/>
    </row>
    <row r="698" spans="13:13" ht="13.2" x14ac:dyDescent="0.25">
      <c r="M698" s="1"/>
    </row>
    <row r="699" spans="13:13" ht="13.2" x14ac:dyDescent="0.25">
      <c r="M699" s="1"/>
    </row>
    <row r="700" spans="13:13" ht="13.2" x14ac:dyDescent="0.25">
      <c r="M700" s="1"/>
    </row>
    <row r="701" spans="13:13" ht="13.2" x14ac:dyDescent="0.25">
      <c r="M701" s="1"/>
    </row>
    <row r="702" spans="13:13" ht="13.2" x14ac:dyDescent="0.25">
      <c r="M702" s="1"/>
    </row>
    <row r="703" spans="13:13" ht="13.2" x14ac:dyDescent="0.25">
      <c r="M703" s="1"/>
    </row>
    <row r="704" spans="13:13" ht="13.2" x14ac:dyDescent="0.25">
      <c r="M704" s="1"/>
    </row>
    <row r="705" spans="13:13" ht="13.2" x14ac:dyDescent="0.25">
      <c r="M705" s="1"/>
    </row>
    <row r="706" spans="13:13" ht="13.2" x14ac:dyDescent="0.25">
      <c r="M706" s="1"/>
    </row>
    <row r="707" spans="13:13" ht="13.2" x14ac:dyDescent="0.25">
      <c r="M707" s="1"/>
    </row>
    <row r="708" spans="13:13" ht="13.2" x14ac:dyDescent="0.25">
      <c r="M708" s="1"/>
    </row>
    <row r="709" spans="13:13" ht="13.2" x14ac:dyDescent="0.25">
      <c r="M709" s="1"/>
    </row>
    <row r="710" spans="13:13" ht="13.2" x14ac:dyDescent="0.25">
      <c r="M710" s="1"/>
    </row>
    <row r="711" spans="13:13" ht="13.2" x14ac:dyDescent="0.25">
      <c r="M711" s="1"/>
    </row>
    <row r="712" spans="13:13" ht="13.2" x14ac:dyDescent="0.25">
      <c r="M712" s="1"/>
    </row>
    <row r="713" spans="13:13" ht="13.2" x14ac:dyDescent="0.25">
      <c r="M713" s="1"/>
    </row>
    <row r="714" spans="13:13" ht="13.2" x14ac:dyDescent="0.25">
      <c r="M714" s="1"/>
    </row>
    <row r="715" spans="13:13" ht="13.2" x14ac:dyDescent="0.25">
      <c r="M715" s="1"/>
    </row>
    <row r="716" spans="13:13" ht="13.2" x14ac:dyDescent="0.25">
      <c r="M716" s="1"/>
    </row>
    <row r="717" spans="13:13" ht="13.2" x14ac:dyDescent="0.25">
      <c r="M717" s="1"/>
    </row>
    <row r="718" spans="13:13" ht="13.2" x14ac:dyDescent="0.25">
      <c r="M718" s="1"/>
    </row>
    <row r="719" spans="13:13" ht="13.2" x14ac:dyDescent="0.25">
      <c r="M719" s="1"/>
    </row>
    <row r="720" spans="13:13" ht="13.2" x14ac:dyDescent="0.25">
      <c r="M720" s="1"/>
    </row>
    <row r="721" spans="13:13" ht="13.2" x14ac:dyDescent="0.25">
      <c r="M721" s="1"/>
    </row>
    <row r="722" spans="13:13" ht="13.2" x14ac:dyDescent="0.25">
      <c r="M722" s="1"/>
    </row>
    <row r="723" spans="13:13" ht="13.2" x14ac:dyDescent="0.25">
      <c r="M723" s="1"/>
    </row>
    <row r="724" spans="13:13" ht="13.2" x14ac:dyDescent="0.25">
      <c r="M724" s="1"/>
    </row>
    <row r="725" spans="13:13" ht="13.2" x14ac:dyDescent="0.25">
      <c r="M725" s="1"/>
    </row>
    <row r="726" spans="13:13" ht="13.2" x14ac:dyDescent="0.25">
      <c r="M726" s="1"/>
    </row>
    <row r="727" spans="13:13" ht="13.2" x14ac:dyDescent="0.25">
      <c r="M727" s="1"/>
    </row>
    <row r="728" spans="13:13" ht="13.2" x14ac:dyDescent="0.25">
      <c r="M728" s="1"/>
    </row>
    <row r="729" spans="13:13" ht="13.2" x14ac:dyDescent="0.25">
      <c r="M729" s="1"/>
    </row>
    <row r="730" spans="13:13" ht="13.2" x14ac:dyDescent="0.25">
      <c r="M730" s="1"/>
    </row>
    <row r="731" spans="13:13" ht="13.2" x14ac:dyDescent="0.25">
      <c r="M731" s="1"/>
    </row>
    <row r="732" spans="13:13" ht="13.2" x14ac:dyDescent="0.25">
      <c r="M732" s="1"/>
    </row>
    <row r="733" spans="13:13" ht="13.2" x14ac:dyDescent="0.25">
      <c r="M733" s="1"/>
    </row>
    <row r="734" spans="13:13" ht="13.2" x14ac:dyDescent="0.25">
      <c r="M734" s="1"/>
    </row>
    <row r="735" spans="13:13" ht="13.2" x14ac:dyDescent="0.25">
      <c r="M735" s="1"/>
    </row>
    <row r="736" spans="13:13" ht="13.2" x14ac:dyDescent="0.25">
      <c r="M736" s="1"/>
    </row>
    <row r="737" spans="13:13" ht="13.2" x14ac:dyDescent="0.25">
      <c r="M737" s="1"/>
    </row>
    <row r="738" spans="13:13" ht="13.2" x14ac:dyDescent="0.25">
      <c r="M738" s="1"/>
    </row>
    <row r="739" spans="13:13" ht="13.2" x14ac:dyDescent="0.25">
      <c r="M739" s="1"/>
    </row>
    <row r="740" spans="13:13" ht="13.2" x14ac:dyDescent="0.25">
      <c r="M740" s="1"/>
    </row>
    <row r="741" spans="13:13" ht="13.2" x14ac:dyDescent="0.25">
      <c r="M741" s="1"/>
    </row>
    <row r="742" spans="13:13" ht="13.2" x14ac:dyDescent="0.25">
      <c r="M742" s="1"/>
    </row>
    <row r="743" spans="13:13" ht="13.2" x14ac:dyDescent="0.25">
      <c r="M743" s="1"/>
    </row>
    <row r="744" spans="13:13" ht="13.2" x14ac:dyDescent="0.25">
      <c r="M744" s="1"/>
    </row>
    <row r="745" spans="13:13" ht="13.2" x14ac:dyDescent="0.25">
      <c r="M745" s="1"/>
    </row>
    <row r="746" spans="13:13" ht="13.2" x14ac:dyDescent="0.25">
      <c r="M746" s="1"/>
    </row>
    <row r="747" spans="13:13" ht="13.2" x14ac:dyDescent="0.25">
      <c r="M747" s="1"/>
    </row>
    <row r="748" spans="13:13" ht="13.2" x14ac:dyDescent="0.25">
      <c r="M748" s="1"/>
    </row>
    <row r="749" spans="13:13" ht="13.2" x14ac:dyDescent="0.25">
      <c r="M749" s="1"/>
    </row>
    <row r="750" spans="13:13" ht="13.2" x14ac:dyDescent="0.25">
      <c r="M750" s="1"/>
    </row>
    <row r="751" spans="13:13" ht="13.2" x14ac:dyDescent="0.25">
      <c r="M751" s="1"/>
    </row>
    <row r="752" spans="13:13" ht="13.2" x14ac:dyDescent="0.25">
      <c r="M752" s="1"/>
    </row>
    <row r="753" spans="13:13" ht="13.2" x14ac:dyDescent="0.25">
      <c r="M753" s="1"/>
    </row>
    <row r="754" spans="13:13" ht="13.2" x14ac:dyDescent="0.25">
      <c r="M754" s="1"/>
    </row>
    <row r="755" spans="13:13" ht="13.2" x14ac:dyDescent="0.25">
      <c r="M755" s="1"/>
    </row>
    <row r="756" spans="13:13" ht="13.2" x14ac:dyDescent="0.25">
      <c r="M756" s="1"/>
    </row>
    <row r="757" spans="13:13" ht="13.2" x14ac:dyDescent="0.25">
      <c r="M757" s="1"/>
    </row>
    <row r="758" spans="13:13" ht="13.2" x14ac:dyDescent="0.25">
      <c r="M758" s="1"/>
    </row>
    <row r="759" spans="13:13" ht="13.2" x14ac:dyDescent="0.25">
      <c r="M759" s="1"/>
    </row>
    <row r="760" spans="13:13" ht="13.2" x14ac:dyDescent="0.25">
      <c r="M760" s="1"/>
    </row>
    <row r="761" spans="13:13" ht="13.2" x14ac:dyDescent="0.25">
      <c r="M761" s="1"/>
    </row>
    <row r="762" spans="13:13" ht="13.2" x14ac:dyDescent="0.25">
      <c r="M762" s="1"/>
    </row>
    <row r="763" spans="13:13" ht="13.2" x14ac:dyDescent="0.25">
      <c r="M763" s="1"/>
    </row>
    <row r="764" spans="13:13" ht="13.2" x14ac:dyDescent="0.25">
      <c r="M764" s="1"/>
    </row>
    <row r="765" spans="13:13" ht="13.2" x14ac:dyDescent="0.25">
      <c r="M765" s="1"/>
    </row>
    <row r="766" spans="13:13" ht="13.2" x14ac:dyDescent="0.25">
      <c r="M766" s="1"/>
    </row>
    <row r="767" spans="13:13" ht="13.2" x14ac:dyDescent="0.25">
      <c r="M767" s="1"/>
    </row>
    <row r="768" spans="13:13" ht="13.2" x14ac:dyDescent="0.25">
      <c r="M768" s="1"/>
    </row>
    <row r="769" spans="13:13" ht="13.2" x14ac:dyDescent="0.25">
      <c r="M769" s="1"/>
    </row>
    <row r="770" spans="13:13" ht="13.2" x14ac:dyDescent="0.25">
      <c r="M770" s="1"/>
    </row>
    <row r="771" spans="13:13" ht="13.2" x14ac:dyDescent="0.25">
      <c r="M771" s="1"/>
    </row>
    <row r="772" spans="13:13" ht="13.2" x14ac:dyDescent="0.25">
      <c r="M772" s="1"/>
    </row>
    <row r="773" spans="13:13" ht="13.2" x14ac:dyDescent="0.25">
      <c r="M773" s="1"/>
    </row>
    <row r="774" spans="13:13" ht="13.2" x14ac:dyDescent="0.25">
      <c r="M774" s="1"/>
    </row>
    <row r="775" spans="13:13" ht="13.2" x14ac:dyDescent="0.25">
      <c r="M775" s="1"/>
    </row>
    <row r="776" spans="13:13" ht="13.2" x14ac:dyDescent="0.25">
      <c r="M776" s="1"/>
    </row>
    <row r="777" spans="13:13" ht="13.2" x14ac:dyDescent="0.25">
      <c r="M777" s="1"/>
    </row>
    <row r="778" spans="13:13" ht="13.2" x14ac:dyDescent="0.25">
      <c r="M778" s="1"/>
    </row>
    <row r="779" spans="13:13" ht="13.2" x14ac:dyDescent="0.25">
      <c r="M779" s="1"/>
    </row>
    <row r="780" spans="13:13" ht="13.2" x14ac:dyDescent="0.25">
      <c r="M780" s="1"/>
    </row>
    <row r="781" spans="13:13" ht="13.2" x14ac:dyDescent="0.25">
      <c r="M781" s="1"/>
    </row>
    <row r="782" spans="13:13" ht="13.2" x14ac:dyDescent="0.25">
      <c r="M782" s="1"/>
    </row>
    <row r="783" spans="13:13" ht="13.2" x14ac:dyDescent="0.25">
      <c r="M783" s="1"/>
    </row>
    <row r="784" spans="13:13" ht="13.2" x14ac:dyDescent="0.25">
      <c r="M784" s="1"/>
    </row>
    <row r="785" spans="13:13" ht="13.2" x14ac:dyDescent="0.25">
      <c r="M785" s="1"/>
    </row>
    <row r="786" spans="13:13" ht="13.2" x14ac:dyDescent="0.25">
      <c r="M786" s="1"/>
    </row>
    <row r="787" spans="13:13" ht="13.2" x14ac:dyDescent="0.25">
      <c r="M787" s="1"/>
    </row>
    <row r="788" spans="13:13" ht="13.2" x14ac:dyDescent="0.25">
      <c r="M788" s="1"/>
    </row>
    <row r="789" spans="13:13" ht="13.2" x14ac:dyDescent="0.25">
      <c r="M789" s="1"/>
    </row>
    <row r="790" spans="13:13" ht="13.2" x14ac:dyDescent="0.25">
      <c r="M790" s="1"/>
    </row>
    <row r="791" spans="13:13" ht="13.2" x14ac:dyDescent="0.25">
      <c r="M791" s="1"/>
    </row>
    <row r="792" spans="13:13" ht="13.2" x14ac:dyDescent="0.25">
      <c r="M792" s="1"/>
    </row>
    <row r="793" spans="13:13" ht="13.2" x14ac:dyDescent="0.25">
      <c r="M793" s="1"/>
    </row>
    <row r="794" spans="13:13" ht="13.2" x14ac:dyDescent="0.25">
      <c r="M794" s="1"/>
    </row>
    <row r="795" spans="13:13" ht="13.2" x14ac:dyDescent="0.25">
      <c r="M795" s="1"/>
    </row>
    <row r="796" spans="13:13" ht="13.2" x14ac:dyDescent="0.25">
      <c r="M796" s="1"/>
    </row>
    <row r="797" spans="13:13" ht="13.2" x14ac:dyDescent="0.25">
      <c r="M797" s="1"/>
    </row>
    <row r="798" spans="13:13" ht="13.2" x14ac:dyDescent="0.25">
      <c r="M798" s="1"/>
    </row>
    <row r="799" spans="13:13" ht="13.2" x14ac:dyDescent="0.25">
      <c r="M799" s="1"/>
    </row>
    <row r="800" spans="13:13" ht="13.2" x14ac:dyDescent="0.25">
      <c r="M800" s="1"/>
    </row>
    <row r="801" spans="13:13" ht="13.2" x14ac:dyDescent="0.25">
      <c r="M801" s="1"/>
    </row>
    <row r="802" spans="13:13" ht="13.2" x14ac:dyDescent="0.25">
      <c r="M802" s="1"/>
    </row>
    <row r="803" spans="13:13" ht="13.2" x14ac:dyDescent="0.25">
      <c r="M803" s="1"/>
    </row>
    <row r="804" spans="13:13" ht="13.2" x14ac:dyDescent="0.25">
      <c r="M804" s="1"/>
    </row>
    <row r="805" spans="13:13" ht="13.2" x14ac:dyDescent="0.25">
      <c r="M805" s="1"/>
    </row>
    <row r="806" spans="13:13" ht="13.2" x14ac:dyDescent="0.25">
      <c r="M806" s="1"/>
    </row>
    <row r="807" spans="13:13" ht="13.2" x14ac:dyDescent="0.25">
      <c r="M807" s="1"/>
    </row>
    <row r="808" spans="13:13" ht="13.2" x14ac:dyDescent="0.25">
      <c r="M808" s="1"/>
    </row>
    <row r="809" spans="13:13" ht="13.2" x14ac:dyDescent="0.25">
      <c r="M809" s="1"/>
    </row>
    <row r="810" spans="13:13" ht="13.2" x14ac:dyDescent="0.25">
      <c r="M810" s="1"/>
    </row>
    <row r="811" spans="13:13" ht="13.2" x14ac:dyDescent="0.25">
      <c r="M811" s="1"/>
    </row>
    <row r="812" spans="13:13" ht="13.2" x14ac:dyDescent="0.25">
      <c r="M812" s="1"/>
    </row>
    <row r="813" spans="13:13" ht="13.2" x14ac:dyDescent="0.25">
      <c r="M813" s="1"/>
    </row>
    <row r="814" spans="13:13" ht="13.2" x14ac:dyDescent="0.25">
      <c r="M814" s="1"/>
    </row>
    <row r="815" spans="13:13" ht="13.2" x14ac:dyDescent="0.25">
      <c r="M815" s="1"/>
    </row>
    <row r="816" spans="13:13" ht="13.2" x14ac:dyDescent="0.25">
      <c r="M816" s="1"/>
    </row>
    <row r="817" spans="13:13" ht="13.2" x14ac:dyDescent="0.25">
      <c r="M817" s="1"/>
    </row>
    <row r="818" spans="13:13" ht="13.2" x14ac:dyDescent="0.25">
      <c r="M818" s="1"/>
    </row>
    <row r="819" spans="13:13" ht="13.2" x14ac:dyDescent="0.25">
      <c r="M819" s="1"/>
    </row>
    <row r="820" spans="13:13" ht="13.2" x14ac:dyDescent="0.25">
      <c r="M820" s="1"/>
    </row>
    <row r="821" spans="13:13" ht="13.2" x14ac:dyDescent="0.25">
      <c r="M821" s="1"/>
    </row>
    <row r="822" spans="13:13" ht="13.2" x14ac:dyDescent="0.25">
      <c r="M822" s="1"/>
    </row>
    <row r="823" spans="13:13" ht="13.2" x14ac:dyDescent="0.25">
      <c r="M823" s="1"/>
    </row>
    <row r="824" spans="13:13" ht="13.2" x14ac:dyDescent="0.25">
      <c r="M824" s="1"/>
    </row>
    <row r="825" spans="13:13" ht="13.2" x14ac:dyDescent="0.25">
      <c r="M825" s="1"/>
    </row>
    <row r="826" spans="13:13" ht="13.2" x14ac:dyDescent="0.25">
      <c r="M826" s="1"/>
    </row>
    <row r="827" spans="13:13" ht="13.2" x14ac:dyDescent="0.25">
      <c r="M827" s="1"/>
    </row>
    <row r="828" spans="13:13" ht="13.2" x14ac:dyDescent="0.25">
      <c r="M828" s="1"/>
    </row>
    <row r="829" spans="13:13" ht="13.2" x14ac:dyDescent="0.25">
      <c r="M829" s="1"/>
    </row>
    <row r="830" spans="13:13" ht="13.2" x14ac:dyDescent="0.25">
      <c r="M830" s="1"/>
    </row>
    <row r="831" spans="13:13" ht="13.2" x14ac:dyDescent="0.25">
      <c r="M831" s="1"/>
    </row>
    <row r="832" spans="13:13" ht="13.2" x14ac:dyDescent="0.25">
      <c r="M832" s="1"/>
    </row>
    <row r="833" spans="13:13" ht="13.2" x14ac:dyDescent="0.25">
      <c r="M833" s="1"/>
    </row>
    <row r="834" spans="13:13" ht="13.2" x14ac:dyDescent="0.25">
      <c r="M834" s="1"/>
    </row>
    <row r="835" spans="13:13" ht="13.2" x14ac:dyDescent="0.25">
      <c r="M835" s="1"/>
    </row>
    <row r="836" spans="13:13" ht="13.2" x14ac:dyDescent="0.25">
      <c r="M836" s="1"/>
    </row>
    <row r="837" spans="13:13" ht="13.2" x14ac:dyDescent="0.25">
      <c r="M837" s="1"/>
    </row>
    <row r="838" spans="13:13" ht="13.2" x14ac:dyDescent="0.25">
      <c r="M838" s="1"/>
    </row>
    <row r="839" spans="13:13" ht="13.2" x14ac:dyDescent="0.25">
      <c r="M839" s="1"/>
    </row>
    <row r="840" spans="13:13" ht="13.2" x14ac:dyDescent="0.25">
      <c r="M840" s="1"/>
    </row>
    <row r="841" spans="13:13" ht="13.2" x14ac:dyDescent="0.25">
      <c r="M841" s="1"/>
    </row>
    <row r="842" spans="13:13" ht="13.2" x14ac:dyDescent="0.25">
      <c r="M842" s="1"/>
    </row>
    <row r="843" spans="13:13" ht="13.2" x14ac:dyDescent="0.25">
      <c r="M843" s="1"/>
    </row>
    <row r="844" spans="13:13" ht="13.2" x14ac:dyDescent="0.25">
      <c r="M844" s="1"/>
    </row>
    <row r="845" spans="13:13" ht="13.2" x14ac:dyDescent="0.25">
      <c r="M845" s="1"/>
    </row>
    <row r="846" spans="13:13" ht="13.2" x14ac:dyDescent="0.25">
      <c r="M846" s="1"/>
    </row>
    <row r="847" spans="13:13" ht="13.2" x14ac:dyDescent="0.25">
      <c r="M847" s="1"/>
    </row>
    <row r="848" spans="13:13" ht="13.2" x14ac:dyDescent="0.25">
      <c r="M848" s="1"/>
    </row>
    <row r="849" spans="13:13" ht="13.2" x14ac:dyDescent="0.25">
      <c r="M849" s="1"/>
    </row>
    <row r="850" spans="13:13" ht="13.2" x14ac:dyDescent="0.25">
      <c r="M850" s="1"/>
    </row>
    <row r="851" spans="13:13" ht="13.2" x14ac:dyDescent="0.25">
      <c r="M851" s="1"/>
    </row>
    <row r="852" spans="13:13" ht="13.2" x14ac:dyDescent="0.25">
      <c r="M852" s="1"/>
    </row>
    <row r="853" spans="13:13" ht="13.2" x14ac:dyDescent="0.25">
      <c r="M853" s="1"/>
    </row>
    <row r="854" spans="13:13" ht="13.2" x14ac:dyDescent="0.25">
      <c r="M854" s="1"/>
    </row>
    <row r="855" spans="13:13" ht="13.2" x14ac:dyDescent="0.25">
      <c r="M855" s="1"/>
    </row>
    <row r="856" spans="13:13" ht="13.2" x14ac:dyDescent="0.25">
      <c r="M856" s="1"/>
    </row>
    <row r="857" spans="13:13" ht="13.2" x14ac:dyDescent="0.25">
      <c r="M857" s="1"/>
    </row>
    <row r="858" spans="13:13" ht="13.2" x14ac:dyDescent="0.25">
      <c r="M858" s="1"/>
    </row>
    <row r="859" spans="13:13" ht="13.2" x14ac:dyDescent="0.25">
      <c r="M859" s="1"/>
    </row>
    <row r="860" spans="13:13" ht="13.2" x14ac:dyDescent="0.25">
      <c r="M860" s="1"/>
    </row>
    <row r="861" spans="13:13" ht="13.2" x14ac:dyDescent="0.25">
      <c r="M861" s="1"/>
    </row>
    <row r="862" spans="13:13" ht="13.2" x14ac:dyDescent="0.25">
      <c r="M862" s="1"/>
    </row>
    <row r="863" spans="13:13" ht="13.2" x14ac:dyDescent="0.25">
      <c r="M863" s="1"/>
    </row>
    <row r="864" spans="13:13" ht="13.2" x14ac:dyDescent="0.25">
      <c r="M864" s="1"/>
    </row>
    <row r="865" spans="13:13" ht="13.2" x14ac:dyDescent="0.25">
      <c r="M865" s="1"/>
    </row>
    <row r="866" spans="13:13" ht="13.2" x14ac:dyDescent="0.25">
      <c r="M866" s="1"/>
    </row>
    <row r="867" spans="13:13" ht="13.2" x14ac:dyDescent="0.25">
      <c r="M867" s="1"/>
    </row>
    <row r="868" spans="13:13" ht="13.2" x14ac:dyDescent="0.25">
      <c r="M868" s="1"/>
    </row>
    <row r="869" spans="13:13" ht="13.2" x14ac:dyDescent="0.25">
      <c r="M869" s="1"/>
    </row>
    <row r="870" spans="13:13" ht="13.2" x14ac:dyDescent="0.25">
      <c r="M870" s="1"/>
    </row>
    <row r="871" spans="13:13" ht="13.2" x14ac:dyDescent="0.25">
      <c r="M871" s="1"/>
    </row>
    <row r="872" spans="13:13" ht="13.2" x14ac:dyDescent="0.25">
      <c r="M872" s="1"/>
    </row>
    <row r="873" spans="13:13" ht="13.2" x14ac:dyDescent="0.25">
      <c r="M873" s="1"/>
    </row>
    <row r="874" spans="13:13" ht="13.2" x14ac:dyDescent="0.25">
      <c r="M874" s="1"/>
    </row>
    <row r="875" spans="13:13" ht="13.2" x14ac:dyDescent="0.25">
      <c r="M875" s="1"/>
    </row>
    <row r="876" spans="13:13" ht="13.2" x14ac:dyDescent="0.25">
      <c r="M876" s="1"/>
    </row>
    <row r="877" spans="13:13" ht="13.2" x14ac:dyDescent="0.25">
      <c r="M877" s="1"/>
    </row>
    <row r="878" spans="13:13" ht="13.2" x14ac:dyDescent="0.25">
      <c r="M878" s="1"/>
    </row>
    <row r="879" spans="13:13" ht="13.2" x14ac:dyDescent="0.25">
      <c r="M879" s="1"/>
    </row>
    <row r="880" spans="13:13" ht="13.2" x14ac:dyDescent="0.25">
      <c r="M880" s="1"/>
    </row>
    <row r="881" spans="13:13" ht="13.2" x14ac:dyDescent="0.25">
      <c r="M881" s="1"/>
    </row>
    <row r="882" spans="13:13" ht="13.2" x14ac:dyDescent="0.25">
      <c r="M882" s="1"/>
    </row>
    <row r="883" spans="13:13" ht="13.2" x14ac:dyDescent="0.25">
      <c r="M883" s="1"/>
    </row>
    <row r="884" spans="13:13" ht="13.2" x14ac:dyDescent="0.25">
      <c r="M884" s="1"/>
    </row>
    <row r="885" spans="13:13" ht="13.2" x14ac:dyDescent="0.25">
      <c r="M885" s="1"/>
    </row>
    <row r="886" spans="13:13" ht="13.2" x14ac:dyDescent="0.25">
      <c r="M886" s="1"/>
    </row>
    <row r="887" spans="13:13" ht="13.2" x14ac:dyDescent="0.25">
      <c r="M887" s="1"/>
    </row>
    <row r="888" spans="13:13" ht="13.2" x14ac:dyDescent="0.25">
      <c r="M888" s="1"/>
    </row>
    <row r="889" spans="13:13" ht="13.2" x14ac:dyDescent="0.25">
      <c r="M889" s="1"/>
    </row>
    <row r="890" spans="13:13" ht="13.2" x14ac:dyDescent="0.25">
      <c r="M890" s="1"/>
    </row>
    <row r="891" spans="13:13" ht="13.2" x14ac:dyDescent="0.25">
      <c r="M891" s="1"/>
    </row>
    <row r="892" spans="13:13" ht="13.2" x14ac:dyDescent="0.25">
      <c r="M892" s="1"/>
    </row>
    <row r="893" spans="13:13" ht="13.2" x14ac:dyDescent="0.25">
      <c r="M893" s="1"/>
    </row>
    <row r="894" spans="13:13" ht="13.2" x14ac:dyDescent="0.25">
      <c r="M894" s="1"/>
    </row>
    <row r="895" spans="13:13" ht="13.2" x14ac:dyDescent="0.25">
      <c r="M895" s="1"/>
    </row>
    <row r="896" spans="13:13" ht="13.2" x14ac:dyDescent="0.25">
      <c r="M896" s="1"/>
    </row>
    <row r="897" spans="13:13" ht="13.2" x14ac:dyDescent="0.25">
      <c r="M897" s="1"/>
    </row>
    <row r="898" spans="13:13" ht="13.2" x14ac:dyDescent="0.25">
      <c r="M898" s="1"/>
    </row>
    <row r="899" spans="13:13" ht="13.2" x14ac:dyDescent="0.25">
      <c r="M899" s="1"/>
    </row>
    <row r="900" spans="13:13" ht="13.2" x14ac:dyDescent="0.25">
      <c r="M900" s="1"/>
    </row>
    <row r="901" spans="13:13" ht="13.2" x14ac:dyDescent="0.25">
      <c r="M901" s="1"/>
    </row>
    <row r="902" spans="13:13" ht="13.2" x14ac:dyDescent="0.25">
      <c r="M902" s="1"/>
    </row>
    <row r="903" spans="13:13" ht="13.2" x14ac:dyDescent="0.25">
      <c r="M903" s="1"/>
    </row>
    <row r="904" spans="13:13" ht="13.2" x14ac:dyDescent="0.25">
      <c r="M904" s="1"/>
    </row>
    <row r="905" spans="13:13" ht="13.2" x14ac:dyDescent="0.25">
      <c r="M905" s="1"/>
    </row>
    <row r="906" spans="13:13" ht="13.2" x14ac:dyDescent="0.25">
      <c r="M906" s="1"/>
    </row>
    <row r="907" spans="13:13" ht="13.2" x14ac:dyDescent="0.25">
      <c r="M907" s="1"/>
    </row>
    <row r="908" spans="13:13" ht="13.2" x14ac:dyDescent="0.25">
      <c r="M908" s="1"/>
    </row>
    <row r="909" spans="13:13" ht="13.2" x14ac:dyDescent="0.25">
      <c r="M909" s="1"/>
    </row>
    <row r="910" spans="13:13" ht="13.2" x14ac:dyDescent="0.25">
      <c r="M910" s="1"/>
    </row>
    <row r="911" spans="13:13" ht="13.2" x14ac:dyDescent="0.25">
      <c r="M911" s="1"/>
    </row>
    <row r="912" spans="13:13" ht="13.2" x14ac:dyDescent="0.25">
      <c r="M912" s="1"/>
    </row>
    <row r="913" spans="13:13" ht="13.2" x14ac:dyDescent="0.25">
      <c r="M913" s="1"/>
    </row>
    <row r="914" spans="13:13" ht="13.2" x14ac:dyDescent="0.25">
      <c r="M914" s="1"/>
    </row>
    <row r="915" spans="13:13" ht="13.2" x14ac:dyDescent="0.25">
      <c r="M915" s="1"/>
    </row>
    <row r="916" spans="13:13" ht="13.2" x14ac:dyDescent="0.25">
      <c r="M916" s="1"/>
    </row>
    <row r="917" spans="13:13" ht="13.2" x14ac:dyDescent="0.25">
      <c r="M917" s="1"/>
    </row>
    <row r="918" spans="13:13" ht="13.2" x14ac:dyDescent="0.25">
      <c r="M918" s="1"/>
    </row>
    <row r="919" spans="13:13" ht="13.2" x14ac:dyDescent="0.25">
      <c r="M919" s="1"/>
    </row>
    <row r="920" spans="13:13" ht="13.2" x14ac:dyDescent="0.25">
      <c r="M920" s="1"/>
    </row>
    <row r="921" spans="13:13" ht="13.2" x14ac:dyDescent="0.25">
      <c r="M921" s="1"/>
    </row>
    <row r="922" spans="13:13" ht="13.2" x14ac:dyDescent="0.25">
      <c r="M922" s="1"/>
    </row>
    <row r="923" spans="13:13" ht="13.2" x14ac:dyDescent="0.25">
      <c r="M923" s="1"/>
    </row>
    <row r="924" spans="13:13" ht="13.2" x14ac:dyDescent="0.25">
      <c r="M924" s="1"/>
    </row>
    <row r="925" spans="13:13" ht="13.2" x14ac:dyDescent="0.25">
      <c r="M925" s="1"/>
    </row>
    <row r="926" spans="13:13" ht="13.2" x14ac:dyDescent="0.25">
      <c r="M926" s="1"/>
    </row>
    <row r="927" spans="13:13" ht="13.2" x14ac:dyDescent="0.25">
      <c r="M927" s="1"/>
    </row>
    <row r="928" spans="13:13" ht="13.2" x14ac:dyDescent="0.25">
      <c r="M928" s="1"/>
    </row>
    <row r="929" spans="13:13" ht="13.2" x14ac:dyDescent="0.25">
      <c r="M929" s="1"/>
    </row>
    <row r="930" spans="13:13" ht="13.2" x14ac:dyDescent="0.25">
      <c r="M930" s="1"/>
    </row>
    <row r="931" spans="13:13" ht="13.2" x14ac:dyDescent="0.25">
      <c r="M931" s="1"/>
    </row>
  </sheetData>
  <dataValidations count="2">
    <dataValidation type="custom" allowBlank="1" showDropDown="1" sqref="N2:N98 P2:P98" xr:uid="{00000000-0002-0000-0000-000000000000}">
      <formula1>OR(NOT(ISERROR(DATEVALUE(N2))), AND(ISNUMBER(N2), LEFT(CELL("format", N2))="D"))</formula1>
    </dataValidation>
    <dataValidation type="custom" allowBlank="1" showDropDown="1" sqref="M2:M98" xr:uid="{00000000-0002-0000-0000-000001000000}">
      <formula1>AND(ISNUMBER(M2),(NOT(OR(NOT(ISERROR(DATEVALUE(M2))), AND(ISNUMBER(M2), LEFT(CELL("format", M2))="D")))))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Tanishq Sharma</cp:lastModifiedBy>
  <dcterms:modified xsi:type="dcterms:W3CDTF">2026-07-31T07:39:00Z</dcterms:modified>
</cp:coreProperties>
</file>